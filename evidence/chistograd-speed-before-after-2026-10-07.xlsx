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4fbe5d4d4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и" sheetId="1" r:id="R86c368f3fff8451c"/>
    <x:sheet xmlns:r="http://schemas.openxmlformats.org/officeDocument/2006/relationships" name="Изображения" sheetId="2" r:id="R8a291deb0cb6486d"/>
    <x:sheet xmlns:r="http://schemas.openxmlformats.org/officeDocument/2006/relationships" name="Страницы" sheetId="3" r:id="R09f5a38f64d54de2"/>
    <x:sheet xmlns:r="http://schemas.openxmlformats.org/officeDocument/2006/relationships" name="Прогоны" sheetId="4" r:id="Rc48442a0784e43e2"/>
    <x:sheet xmlns:r="http://schemas.openxmlformats.org/officeDocument/2006/relationships" name="Сценарии" sheetId="5" r:id="R48b85077e8a04b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yyyy-mm-dd hh:mm:ss"/>
    <x:numFmt numFmtId="202" formatCode="0.00"/>
    <x:numFmt numFmtId="203" formatCode="0.000"/>
    <x:numFmt numFmtId="204" formatCode="0.0%"/>
    <x:numFmt numFmtId="205" formatCode="yyyy-mm-dd hh:mm"/>
  </x:numFmts>
  <x:fonts count="10">
    <x:font>
      <x:sz val="11"/>
      <x:name val="Carlito"/>
    </x:font>
    <x:font>
      <x:sz val="11"/>
      <x:color rgb="FF243B53"/>
      <x:name val="Arial"/>
    </x:font>
    <x:font>
      <x:b/>
      <x:sz val="17"/>
      <x:color rgb="FF142D4E"/>
      <x:name val="Arial"/>
    </x:font>
    <x:font>
      <x:i/>
      <x:sz val="10"/>
      <x:color rgb="FF506B83"/>
      <x:name val="Arial"/>
    </x:font>
    <x:font>
      <x:b/>
      <x:sz val="11"/>
      <x:color rgb="FFFFFFFF"/>
      <x:name val="Arial"/>
    </x:font>
    <x:font>
      <x:sz val="10"/>
      <x:color rgb="FF0067C8"/>
      <x:name val="Arial"/>
    </x:font>
    <x:font>
      <x:b/>
      <x:sz val="10"/>
      <x:color rgb="FFFFFFFF"/>
      <x:name val="Arial"/>
    </x:font>
    <x:font>
      <x:b/>
      <x:sz val="12"/>
      <x:color rgb="FF0067C8"/>
      <x:name val="Arial"/>
    </x:font>
    <x:font>
      <x:b/>
      <x:sz val="10"/>
      <x:color rgb="FF142D4E"/>
      <x:name val="Arial"/>
    </x:font>
    <x:font>
      <x:sz val="10"/>
      <x:color rgb="FF243B5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D4E"/>
      </x:patternFill>
    </x:fill>
    <x:fill>
      <x:patternFill patternType="solid">
        <x:fgColor rgb="FFEFF6FC"/>
      </x:patternFill>
    </x:fill>
  </x:fills>
  <x:borders count="6">
    <x:border/>
    <x:border>
      <x:bottom style="thin">
        <x:color rgb="FFD6E2EE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D6E2EE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horizontal="right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horizontal="right" vertical="center" wrapText="1"/>
    </x:xf>
    <x:xf numFmtId="204" fontId="1" fillId="3" borderId="5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 wrapText="1"/>
    </x:xf>
    <x:xf numFmtId="204" fontId="1" fillId="0" borderId="5" xfId="0" applyNumberFormat="1" applyFont="1" applyFill="1" applyBorder="1" applyAlignment="1">
      <x:alignment vertical="center" wrapText="1"/>
    </x:xf>
    <x:xf numFmtId="204" fontId="1" fillId="3" borderId="5" xfId="0" applyNumberFormat="1" applyFont="1" applyFill="1" applyBorder="1" applyAlignment="1">
      <x:alignment horizontal="right" vertical="center" wrapText="1"/>
    </x:xf>
    <x:xf numFmtId="204" fontId="1" fillId="0" borderId="0" xfId="0" applyNumberFormat="1" applyFont="1" applyFill="1" applyBorder="1" applyAlignment="1">
      <x:alignment horizontal="right" vertical="center" wrapText="1"/>
    </x:xf>
    <x:xf numFmtId="204" fontId="1" fillId="3" borderId="0" xfId="0" applyNumberFormat="1" applyFont="1" applyFill="1" applyBorder="1" applyAlignment="1">
      <x:alignment horizontal="right" vertical="center" wrapText="1"/>
    </x:xf>
    <x:xf numFmtId="204" fontId="1" fillId="0" borderId="5" xfId="0" applyNumberFormat="1" applyFont="1" applyFill="1" applyBorder="1" applyAlignment="1">
      <x:alignment horizontal="right"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0"/>
    </x:xf>
    <x:xf numFmtId="205" fontId="1" fillId="0" borderId="0" xfId="0" applyNumberFormat="1" applyFont="1" applyFill="1" applyBorder="1" applyAlignment="1">
      <x:alignment vertical="center" wrapText="1"/>
    </x:xf>
    <x:xf numFmtId="205" fontId="1" fillId="3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horizontal="right" vertical="center" wrapText="1"/>
    </x:xf>
    <x:xf numFmtId="205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2e1d14eba445b" /><Relationship Type="http://schemas.openxmlformats.org/officeDocument/2006/relationships/theme" Target="/xl/theme/theme1.xml" Id="R5e17aabe2e5d4fef" /><Relationship Type="http://schemas.openxmlformats.org/officeDocument/2006/relationships/sharedStrings" Target="/xl/sharedStrings.xml" Id="Rca31d515b1254218" /><Relationship Type="http://schemas.openxmlformats.org/officeDocument/2006/relationships/worksheet" Target="/xl/worksheets/sheet1.xml" Id="R86c368f3fff8451c" /><Relationship Type="http://schemas.openxmlformats.org/officeDocument/2006/relationships/worksheet" Target="/xl/worksheets/sheet2.xml" Id="R8a291deb0cb6486d" /><Relationship Type="http://schemas.openxmlformats.org/officeDocument/2006/relationships/worksheet" Target="/xl/worksheets/sheet3.xml" Id="R09f5a38f64d54de2" /><Relationship Type="http://schemas.openxmlformats.org/officeDocument/2006/relationships/worksheet" Target="/xl/worksheets/sheet4.xml" Id="Rc48442a0784e43e2" /><Relationship Type="http://schemas.openxmlformats.org/officeDocument/2006/relationships/worksheet" Target="/xl/worksheets/sheet5.xml" Id="R48b85077e8a04b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7" hidden="0" customWidth="1"/>
    <x:col min="8" max="8" width="17" hidden="0" customWidth="1"/>
  </x:cols>
  <x:sheetData>
    <x:row r="1" ht="31" customHeight="1">
      <x:c r="A1" s="5" t="str">
        <x:v>Скорость сайта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Чистоград. Замеры 7 октября 2026 года.</x:v>
      </x:c>
      <x:c r="B2" s="3"/>
      <x:c r="C2" s="3"/>
      <x:c r="D2" s="3"/>
      <x:c r="E2" s="3"/>
      <x:c r="F2" s="3"/>
      <x:c r="G2" s="3"/>
      <x:c r="H2" s="3"/>
    </x:row>
    <x:row r="3" ht="24" customHeight="1">
      <x:c r="A3" s="8"/>
      <x:c r="B3" s="8"/>
      <x:c r="C3" s="8"/>
      <x:c r="D3" s="8"/>
      <x:c r="E3" s="8"/>
      <x:c r="F3" s="8"/>
      <x:c r="G3" s="8"/>
      <x:c r="H3" s="8"/>
    </x:row>
    <x:row r="4" ht="24" customHeight="1">
      <x:c r="A4" s="3"/>
      <x:c r="B4" s="3"/>
      <x:c r="C4" s="3"/>
      <x:c r="D4" s="3"/>
      <x:c r="E4" s="3"/>
      <x:c r="F4" s="3"/>
      <x:c r="G4" s="3"/>
      <x:c r="H4" s="3"/>
    </x:row>
    <x:row r="5" ht="24" customHeight="1">
      <x:c r="A5" s="3"/>
      <x:c r="B5" s="3"/>
      <x:c r="C5" s="3"/>
      <x:c r="D5" s="3"/>
      <x:c r="E5" s="3"/>
      <x:c r="F5" s="3"/>
      <x:c r="G5" s="3"/>
      <x:c r="H5" s="3"/>
    </x:row>
    <x:row r="6" ht="44" customHeight="1">
      <x:c r="A6" s="14" t="str">
        <x:v>Страница</x:v>
      </x:c>
      <x:c r="B6" s="15" t="str">
        <x:v>Устройство</x:v>
      </x:c>
      <x:c r="C6" s="15" t="str">
        <x:v>Lighthouse до</x:v>
      </x:c>
      <x:c r="D6" s="15" t="str">
        <x:v>Lighthouse после</x:v>
      </x:c>
      <x:c r="E6" s="15" t="str">
        <x:v>LCP до, с</x:v>
      </x:c>
      <x:c r="F6" s="15" t="str">
        <x:v>LCP после, с</x:v>
      </x:c>
      <x:c r="G6" s="15" t="str">
        <x:v>Загрузка до, МБ</x:v>
      </x:c>
      <x:c r="H6" s="16" t="str">
        <x:v>Загрузка после, МБ</x:v>
      </x:c>
    </x:row>
    <x:row r="7" ht="32" customHeight="1">
      <x:c r="A7" s="17" t="str">
        <x:v>Главная</x:v>
      </x:c>
      <x:c r="B7" s="17" t="str">
        <x:v>Телефон</x:v>
      </x:c>
      <x:c r="C7" s="20" t="n">
        <x:f>'Страницы'!E7</x:f>
        <x:v>45</x:v>
      </x:c>
      <x:c r="D7" s="20" t="n">
        <x:f>'Страницы'!H7</x:f>
        <x:v>78</x:v>
      </x:c>
      <x:c r="E7" s="28" t="n">
        <x:f>'Страницы'!E9</x:f>
        <x:v>17.5322645</x:v>
      </x:c>
      <x:c r="F7" s="28" t="n">
        <x:f>'Страницы'!H9</x:f>
        <x:v>3.4994288700000005</x:v>
      </x:c>
      <x:c r="G7" s="28" t="n">
        <x:f>'Страницы'!E14/1000000</x:f>
        <x:v>14.105936</x:v>
      </x:c>
      <x:c r="H7" s="28" t="n">
        <x:f>'Страницы'!H14/1000000</x:f>
        <x:v>1.292654</x:v>
      </x:c>
    </x:row>
    <x:row r="8" ht="32" customHeight="1">
      <x:c r="A8" s="3" t="str">
        <x:v>Главная</x:v>
      </x:c>
      <x:c r="B8" s="3" t="str">
        <x:v>Компьютер</x:v>
      </x:c>
      <x:c r="C8" s="21" t="n">
        <x:f>'Страницы'!E20</x:f>
        <x:v>56.00000000000001</x:v>
      </x:c>
      <x:c r="D8" s="21" t="n">
        <x:f>'Страницы'!H20</x:f>
        <x:v>72</x:v>
      </x:c>
      <x:c r="E8" s="29" t="n">
        <x:f>'Страницы'!E22</x:f>
        <x:v>6.309365599999999</x:v>
      </x:c>
      <x:c r="F8" s="29" t="n">
        <x:f>'Страницы'!H22</x:f>
        <x:v>2.4379597800000004</x:v>
      </x:c>
      <x:c r="G8" s="29" t="n">
        <x:f>'Страницы'!E27/1000000</x:f>
        <x:v>14.16566</x:v>
      </x:c>
      <x:c r="H8" s="29" t="n">
        <x:f>'Страницы'!H27/1000000</x:f>
        <x:v>2.367913</x:v>
      </x:c>
    </x:row>
    <x:row r="9" ht="32" customHeight="1">
      <x:c r="A9" s="17" t="str">
        <x:v>Генеральная уборка</x:v>
      </x:c>
      <x:c r="B9" s="17" t="str">
        <x:v>Телефон</x:v>
      </x:c>
      <x:c r="C9" s="20" t="n">
        <x:f>'Страницы'!E33</x:f>
        <x:v>42</x:v>
      </x:c>
      <x:c r="D9" s="20" t="n">
        <x:f>'Страницы'!H33</x:f>
        <x:v>74</x:v>
      </x:c>
      <x:c r="E9" s="28" t="n">
        <x:f>'Страницы'!E35</x:f>
        <x:v>7.995280075000002</x:v>
      </x:c>
      <x:c r="F9" s="28" t="n">
        <x:f>'Страницы'!H35</x:f>
        <x:v>4.0727146</x:v>
      </x:c>
      <x:c r="G9" s="28" t="n">
        <x:f>'Страницы'!E40/1000000</x:f>
        <x:v>11.451394</x:v>
      </x:c>
      <x:c r="H9" s="28" t="n">
        <x:f>'Страницы'!H40/1000000</x:f>
        <x:v>1.654171</x:v>
      </x:c>
    </x:row>
    <x:row r="10" ht="32" customHeight="1">
      <x:c r="A10" s="3" t="str">
        <x:v>Генеральная уборка</x:v>
      </x:c>
      <x:c r="B10" s="3" t="str">
        <x:v>Компьютер</x:v>
      </x:c>
      <x:c r="C10" s="21" t="n">
        <x:f>'Страницы'!E46</x:f>
        <x:v>56.99999999999999</x:v>
      </x:c>
      <x:c r="D10" s="21" t="n">
        <x:f>'Страницы'!H46</x:f>
        <x:v>70</x:v>
      </x:c>
      <x:c r="E10" s="29" t="n">
        <x:f>'Страницы'!E48</x:f>
        <x:v>5.063547600000001</x:v>
      </x:c>
      <x:c r="F10" s="29" t="n">
        <x:f>'Страницы'!H48</x:f>
        <x:v>2.5917877500000004</x:v>
      </x:c>
      <x:c r="G10" s="29" t="n">
        <x:f>'Страницы'!E53/1000000</x:f>
        <x:v>14.796076</x:v>
      </x:c>
      <x:c r="H10" s="29" t="n">
        <x:f>'Страницы'!H53/1000000</x:f>
        <x:v>2.208595</x:v>
      </x:c>
    </x:row>
    <x:row r="11" ht="32" customHeight="1">
      <x:c r="A11" s="17" t="str">
        <x:v>Уборка после ремонта</x:v>
      </x:c>
      <x:c r="B11" s="17" t="str">
        <x:v>Телефон</x:v>
      </x:c>
      <x:c r="C11" s="20" t="n">
        <x:f>'Страницы'!E59</x:f>
        <x:v>51</x:v>
      </x:c>
      <x:c r="D11" s="20" t="n">
        <x:f>'Страницы'!H59</x:f>
        <x:v>78</x:v>
      </x:c>
      <x:c r="E11" s="28" t="n">
        <x:f>'Страницы'!E61</x:f>
        <x:v>9.1094252</x:v>
      </x:c>
      <x:c r="F11" s="28" t="n">
        <x:f>'Страницы'!H61</x:f>
        <x:v>3.6232678999999997</x:v>
      </x:c>
      <x:c r="G11" s="28" t="n">
        <x:f>'Страницы'!E66/1000000</x:f>
        <x:v>3.348254</x:v>
      </x:c>
      <x:c r="H11" s="28" t="n">
        <x:f>'Страницы'!H66/1000000</x:f>
        <x:v>1.1809</x:v>
      </x:c>
    </x:row>
    <x:row r="12" ht="32" customHeight="1">
      <x:c r="A12" s="3" t="str">
        <x:v>Уборка после ремонта</x:v>
      </x:c>
      <x:c r="B12" s="3" t="str">
        <x:v>Компьютер</x:v>
      </x:c>
      <x:c r="C12" s="21" t="n">
        <x:f>'Страницы'!E72</x:f>
        <x:v>57.99999999999999</x:v>
      </x:c>
      <x:c r="D12" s="21" t="n">
        <x:f>'Страницы'!H72</x:f>
        <x:v>66</x:v>
      </x:c>
      <x:c r="E12" s="29" t="n">
        <x:f>'Страницы'!E74</x:f>
        <x:v>4.702268699999999</x:v>
      </x:c>
      <x:c r="F12" s="29" t="n">
        <x:f>'Страницы'!H74</x:f>
        <x:v>3.3002102999999994</x:v>
      </x:c>
      <x:c r="G12" s="29" t="n">
        <x:f>'Страницы'!E79/1000000</x:f>
        <x:v>3.382906</x:v>
      </x:c>
      <x:c r="H12" s="29" t="n">
        <x:f>'Страницы'!H79/1000000</x:f>
        <x:v>1.734915</x:v>
      </x:c>
    </x:row>
    <x:row r="13" ht="32" customHeight="1">
      <x:c r="A13" s="17"/>
      <x:c r="B13" s="17"/>
      <x:c r="C13" s="17"/>
      <x:c r="D13" s="17"/>
      <x:c r="E13" s="17"/>
      <x:c r="F13" s="17"/>
      <x:c r="G13" s="17"/>
      <x:c r="H13" s="17"/>
    </x:row>
    <x:row r="14" ht="37" customHeight="1">
      <x:c r="A14" s="48" t="str">
        <x:v>PNG в WebP</x:v>
      </x:c>
      <x:c r="B14" s="48" t="str">
        <x:v>Файлы</x:v>
      </x:c>
      <x:c r="C14" s="48" t="str">
        <x:v>До, байт</x:v>
      </x:c>
      <x:c r="D14" s="48" t="str">
        <x:v>После, байт</x:v>
      </x:c>
      <x:c r="E14" s="48" t="str">
        <x:v>Снижение, байт</x:v>
      </x:c>
      <x:c r="F14" s="48" t="str">
        <x:v>Снижение, %</x:v>
      </x:c>
      <x:c r="G14" s="3"/>
      <x:c r="H14" s="3"/>
    </x:row>
    <x:row r="15" ht="33" customHeight="1">
      <x:c r="A15" s="17" t="str">
        <x:v>Без изменения пикселей</x:v>
      </x:c>
      <x:c r="B15" s="20" t="n">
        <x:v>5</x:v>
      </x:c>
      <x:c r="C15" s="20" t="n">
        <x:f>SUM('Изображения'!C7:C11)</x:f>
        <x:v>3979899</x:v>
      </x:c>
      <x:c r="D15" s="20" t="n">
        <x:f>SUM('Изображения'!H7:H11)</x:f>
        <x:v>2626234</x:v>
      </x:c>
      <x:c r="E15" s="20" t="n">
        <x:f>C15-D15</x:f>
        <x:v>1353665</x:v>
      </x:c>
      <x:c r="F15" s="44" t="n">
        <x:f>E15/C15</x:f>
        <x:v>0.34012546549548117</x:v>
      </x:c>
      <x:c r="G15" s="17"/>
      <x:c r="H15" s="17"/>
    </x:row>
    <x:row r="16" ht="32" customHeight="1">
      <x:c r="A16" s="3"/>
      <x:c r="B16" s="3"/>
      <x:c r="C16" s="3"/>
      <x:c r="D16" s="3"/>
      <x:c r="E16" s="3"/>
      <x:c r="F16" s="3"/>
      <x:c r="G16" s="3"/>
      <x:c r="H16" s="3"/>
    </x:row>
    <x:row r="17" ht="32" customHeight="1">
      <x:c r="A17" s="17"/>
      <x:c r="B17" s="17"/>
      <x:c r="C17" s="17"/>
      <x:c r="D17" s="17"/>
      <x:c r="E17" s="17"/>
      <x:c r="F17" s="17"/>
      <x:c r="G17" s="17"/>
      <x:c r="H17" s="17"/>
    </x:row>
    <x:row r="18" ht="32" customHeight="1">
      <x:c r="A18" s="49" t="str">
        <x:v>Методика</x:v>
      </x:c>
      <x:c r="B18" s="3"/>
      <x:c r="C18" s="3"/>
      <x:c r="D18" s="3"/>
      <x:c r="E18" s="3"/>
      <x:c r="F18" s="3"/>
      <x:c r="G18" s="3"/>
      <x:c r="H18" s="3"/>
    </x:row>
    <x:row r="19" ht="24" customHeight="1">
      <x:c r="A19" s="50" t="str">
        <x:v>Повторы</x:v>
      </x:c>
      <x:c r="B19" s="52" t="str">
        <x:v>18 замеров до и 18 после. По три повтора для каждой из трёх страниц на телефоне и компьютере.</x:v>
      </x:c>
      <x:c r="C19" s="17"/>
      <x:c r="D19" s="17"/>
      <x:c r="E19" s="17"/>
      <x:c r="F19" s="17"/>
      <x:c r="G19" s="17"/>
      <x:c r="H19" s="17"/>
    </x:row>
    <x:row r="20" ht="24" customHeight="1">
      <x:c r="A20" s="53" t="str">
        <x:v>Сравнение</x:v>
      </x:c>
      <x:c r="B20" s="55" t="str">
        <x:v>В таблице указаны медианы. На листе «Страницы» есть минимальные и максимальные значения.</x:v>
      </x:c>
      <x:c r="C20" s="3"/>
      <x:c r="D20" s="3"/>
      <x:c r="E20" s="3"/>
      <x:c r="F20" s="3"/>
      <x:c r="G20" s="3"/>
      <x:c r="H20" s="3"/>
    </x:row>
    <x:row r="21" ht="24" customHeight="1">
      <x:c r="A21" s="50" t="str">
        <x:v>Чтение таблицы</x:v>
      </x:c>
      <x:c r="B21" s="52" t="str">
        <x:v>Lighthouse — оценка скорости от 0 до 100: больше баллов лучше. Для времени, веса и сдвигов элементов</x:v>
      </x:c>
      <x:c r="C21" s="17"/>
      <x:c r="D21" s="17"/>
      <x:c r="E21" s="17"/>
      <x:c r="F21" s="17"/>
      <x:c r="G21" s="17"/>
      <x:c r="H21" s="17"/>
    </x:row>
    <x:row r="22" ht="24" customHeight="1">
      <x:c r="A22" s="3"/>
      <x:c r="B22" s="55" t="str">
        <x:v>меньшие значения означают снижение.</x:v>
      </x:c>
      <x:c r="C22" s="3"/>
      <x:c r="D22" s="3"/>
      <x:c r="E22" s="3"/>
      <x:c r="F22" s="3"/>
      <x:c r="G22" s="3"/>
      <x:c r="H22" s="3"/>
    </x:row>
    <x:row r="23" ht="24" customHeight="1">
      <x:c r="A23" s="50" t="str">
        <x:v>Среда</x:v>
      </x:c>
      <x:c r="B23" s="52" t="str">
        <x:v>Lighthouse 13.5.0. Версия браузера и настройки совпадают в обеих сериях.</x:v>
      </x:c>
      <x:c r="C23" s="17"/>
      <x:c r="D23" s="17"/>
      <x:c r="E23" s="17"/>
      <x:c r="F23" s="17"/>
      <x:c r="G23" s="17"/>
      <x:c r="H23" s="17"/>
    </x:row>
    <x:row r="24" ht="24" customHeight="1">
      <x:c r="A24" s="53" t="str">
        <x:v>Телефон</x:v>
      </x:c>
      <x:c r="B24" s="55" t="str">
        <x:v>412 × 823 px; замедление CPU 4×; сеть 1 638,4 Кбит/с.</x:v>
      </x:c>
      <x:c r="C24" s="3"/>
      <x:c r="D24" s="3"/>
      <x:c r="E24" s="3"/>
      <x:c r="F24" s="3"/>
      <x:c r="G24" s="3"/>
      <x:c r="H24" s="3"/>
    </x:row>
    <x:row r="25" ht="24" customHeight="1">
      <x:c r="A25" s="50" t="str">
        <x:v>Компьютер</x:v>
      </x:c>
      <x:c r="B25" s="52" t="str">
        <x:v>1350 × 940 px; замедление CPU 1×; сеть 10 240 Кбит/с.</x:v>
      </x:c>
      <x:c r="C25" s="17"/>
      <x:c r="D25" s="17"/>
      <x:c r="E25" s="17"/>
      <x:c r="F25" s="17"/>
      <x:c r="G25" s="17"/>
      <x:c r="H25" s="17"/>
    </x:row>
    <x:row r="26" ht="24" customHeight="1">
      <x:c r="A26" s="53" t="str">
        <x:v>Сетевые сценарии</x:v>
      </x:c>
      <x:c r="B26" s="55" t="str">
        <x:v>Шесть сценариев до и шесть после. По одному для каждой страницы и устройства, без замедления сети и CPU.</x:v>
      </x:c>
      <x:c r="C26" s="3"/>
      <x:c r="D26" s="3"/>
      <x:c r="E26" s="3"/>
      <x:c r="F26" s="3"/>
      <x:c r="G26" s="3"/>
      <x:c r="H26" s="3"/>
    </x:row>
    <x:row r="27" ht="24" customHeight="1">
      <x:c r="A27" s="17"/>
      <x:c r="B27" s="52" t="str">
        <x:v>Начальная загрузка: 10 секунд после DOMContentLoaded. После прокрутки: 5 секунд. Фото: 5 секунд после</x:v>
      </x:c>
      <x:c r="C27" s="17"/>
      <x:c r="D27" s="17"/>
      <x:c r="E27" s="17"/>
      <x:c r="F27" s="17"/>
      <x:c r="G27" s="17"/>
      <x:c r="H27" s="17"/>
    </x:row>
    <x:row r="28" ht="24" customHeight="1">
      <x:c r="A28" s="3"/>
      <x:c r="B28" s="55" t="str">
        <x:v>открытия. Видео: 20 секунд после попытки запуска.</x:v>
      </x:c>
      <x:c r="C28" s="3"/>
      <x:c r="D28" s="3"/>
      <x:c r="E28" s="3"/>
      <x:c r="F28" s="3"/>
      <x:c r="G28" s="3"/>
      <x:c r="H28" s="3"/>
    </x:row>
    <x:row r="29" ht="24" customHeight="1">
      <x:c r="A29" s="50" t="str">
        <x:v>Кэш</x:v>
      </x:c>
      <x:c r="B29" s="52" t="str">
        <x:v>Каждый сценарий начинается с нового профиля и пустого кэша. Внутри сценария работает обычный кэш</x:v>
      </x:c>
      <x:c r="C29" s="17"/>
      <x:c r="D29" s="17"/>
      <x:c r="E29" s="17"/>
      <x:c r="F29" s="17"/>
      <x:c r="G29" s="17"/>
      <x:c r="H29" s="17"/>
    </x:row>
    <x:row r="30" ht="24" customHeight="1">
      <x:c r="A30" s="3"/>
      <x:c r="B30" s="55" t="str">
        <x:v>браузера.</x:v>
      </x:c>
      <x:c r="C30" s="3"/>
      <x:c r="D30" s="3"/>
      <x:c r="E30" s="3"/>
      <x:c r="F30" s="3"/>
      <x:c r="G30" s="3"/>
      <x:c r="H30" s="3"/>
    </x:row>
    <x:row r="31" ht="24" customHeight="1">
      <x:c r="A31" s="50" t="str">
        <x:v>Байты</x:v>
      </x:c>
      <x:c r="B31" s="52" t="str">
        <x:v>Размер изображения — размер файла. Lighthouse и сценарии считают загрузку страницы. В сценариях отдельно</x:v>
      </x:c>
      <x:c r="C31" s="17"/>
      <x:c r="D31" s="17"/>
      <x:c r="E31" s="17"/>
      <x:c r="F31" s="17"/>
      <x:c r="G31" s="17"/>
      <x:c r="H31" s="17"/>
    </x:row>
    <x:row r="32" ht="24" customHeight="1">
      <x:c r="A32" s="3"/>
      <x:c r="B32" s="55" t="str">
        <x:v>показаны завершённые запросы и полученные части незавершённых запросов.</x:v>
      </x:c>
      <x:c r="C32" s="3"/>
      <x:c r="D32" s="3"/>
      <x:c r="E32" s="3"/>
      <x:c r="F32" s="3"/>
      <x:c r="G32" s="3"/>
      <x:c r="H32" s="3"/>
    </x:row>
    <x:row r="33" ht="24" customHeight="1">
      <x:c r="A33" s="50" t="str">
        <x:v>Этапы сценариев</x:v>
      </x:c>
      <x:c r="B33" s="52" t="str">
        <x:v>Байты накоплены с начала открытия страницы. Добавка этапа включает завершение ранее начатых запросов. МБ</x:v>
      </x:c>
      <x:c r="C33" s="17"/>
      <x:c r="D33" s="17"/>
      <x:c r="E33" s="17"/>
      <x:c r="F33" s="17"/>
      <x:c r="G33" s="17"/>
      <x:c r="H33" s="17"/>
    </x:row>
    <x:row r="34" ht="24" customHeight="1">
      <x:c r="A34" s="3"/>
      <x:c r="B34" s="55" t="str">
        <x:v>= 1 000 000 байт.</x:v>
      </x:c>
      <x:c r="C34" s="3"/>
      <x:c r="D34" s="3"/>
      <x:c r="E34" s="3"/>
      <x:c r="F34" s="3"/>
      <x:c r="G34" s="3"/>
      <x:c r="H34" s="3"/>
    </x:row>
    <x:row r="35" ht="24" customHeight="1">
      <x:c r="A35" s="50" t="str">
        <x:v>Сервисы VK</x:v>
      </x:c>
      <x:c r="B35" s="52" t="str">
        <x:v>В колонке VK учтены плееры, видеоресурсы и служебные запросы VK. Эти байты не означают, что видео</x:v>
      </x:c>
      <x:c r="C35" s="17"/>
      <x:c r="D35" s="17"/>
      <x:c r="E35" s="17"/>
      <x:c r="F35" s="17"/>
      <x:c r="G35" s="17"/>
      <x:c r="H35" s="17"/>
    </x:row>
    <x:row r="36" ht="24" customHeight="1">
      <x:c r="A36" s="3"/>
      <x:c r="B36" s="55" t="str">
        <x:v>воспроизводилось. Результат попытки указан отдельно.</x:v>
      </x:c>
      <x:c r="C36" s="3"/>
      <x:c r="D36" s="3"/>
      <x:c r="E36" s="3"/>
      <x:c r="F36" s="3"/>
      <x:c r="G36" s="3"/>
      <x:c r="H36" s="3"/>
    </x:row>
    <x:row r="37" ht="24" customHeight="1">
      <x:c r="A37" s="50" t="str">
        <x:v>Изображения</x:v>
      </x:c>
      <x:c r="B37" s="52" t="str">
        <x:v>Исходник и вариант приведены по публичным URL. PNG переведены в WebP без изменения пикселей. JPEG</x:v>
      </x:c>
      <x:c r="C37" s="17"/>
      <x:c r="D37" s="17"/>
      <x:c r="E37" s="17"/>
      <x:c r="F37" s="17"/>
      <x:c r="G37" s="17"/>
      <x:c r="H37" s="17"/>
    </x:row>
    <x:row r="38" ht="24" customHeight="1">
      <x:c r="A38" s="3"/>
      <x:c r="B38" s="55" t="str">
        <x:v>показаны отдельными миниатюрами. Несколько вариантов одного исходника не складываются как загрузка одной</x:v>
      </x:c>
      <x:c r="C38" s="3"/>
      <x:c r="D38" s="3"/>
      <x:c r="E38" s="3"/>
      <x:c r="F38" s="3"/>
      <x:c r="G38" s="3"/>
      <x:c r="H38" s="3"/>
    </x:row>
    <x:row r="39" ht="24" customHeight="1">
      <x:c r="A39" s="17"/>
      <x:c r="B39" s="52" t="str">
        <x:v>страницы.</x:v>
      </x:c>
      <x:c r="C39" s="17"/>
      <x:c r="D39" s="17"/>
      <x:c r="E39" s="17"/>
      <x:c r="F39" s="17"/>
      <x:c r="G39" s="17"/>
      <x:c r="H39" s="17"/>
    </x:row>
    <x:row r="40" ht="24" customHeight="1">
      <x:c r="A40" s="53" t="str">
        <x:v>Границы замера</x:v>
      </x:c>
      <x:c r="B40" s="55" t="str">
        <x:v>Это лабораторные измерения в указанных условиях. Они не показывают рост посещаемости, позиций или</x:v>
      </x:c>
      <x:c r="C40" s="3"/>
      <x:c r="D40" s="3"/>
      <x:c r="E40" s="3"/>
      <x:c r="F40" s="3"/>
      <x:c r="G40" s="3"/>
      <x:c r="H40" s="3"/>
    </x:row>
    <x:row r="41" ht="24" customHeight="1">
      <x:c r="A41" s="17"/>
      <x:c r="B41" s="52" t="str">
        <x:v>конверсии.</x:v>
      </x:c>
      <x:c r="C41" s="17"/>
      <x:c r="D41" s="17"/>
      <x:c r="E41" s="17"/>
      <x:c r="F41" s="17"/>
      <x:c r="G41" s="17"/>
      <x:c r="H41" s="17"/>
    </x:row>
    <x:row r="42" ht="24" customHeight="1">
      <x:c r="A42" s="53" t="str">
        <x:v>Источники</x:v>
      </x:c>
      <x:c r="B42" s="55" t="str">
        <x:v>https://chistoufa.ru/ ; https://chistoufa.ru/generalnaya-uborka/ ;</x:v>
      </x:c>
      <x:c r="C42" s="3"/>
      <x:c r="D42" s="3"/>
      <x:c r="E42" s="3"/>
      <x:c r="F42" s="3"/>
      <x:c r="G42" s="3"/>
      <x:c r="H42" s="3"/>
    </x:row>
    <x:row r="43" ht="24" customHeight="1">
      <x:c r="A43" s="17"/>
      <x:c r="B43" s="52" t="str">
        <x:v>https://chistoufa.ru/stati/uborka-posle-remonta-kommercheskikh-pomeshcheniy/ ;</x:v>
      </x:c>
      <x:c r="C43" s="17"/>
      <x:c r="D43" s="17"/>
      <x:c r="E43" s="17"/>
      <x:c r="F43" s="17"/>
      <x:c r="G43" s="17"/>
      <x:c r="H43" s="17"/>
    </x:row>
    <x:row r="44" ht="24" customHeight="1">
      <x:c r="A44" s="3"/>
      <x:c r="B44" s="55" t="str">
        <x:v>https://chistoufa.ru/portfolio/</x:v>
      </x:c>
      <x:c r="C44" s="3"/>
      <x:c r="D44" s="3"/>
      <x:c r="E44" s="3"/>
      <x:c r="F44" s="3"/>
      <x:c r="G44" s="3"/>
      <x:c r="H44" s="3"/>
    </x:row>
    <x:row r="45" ht="32" customHeight="1">
      <x:c r="A45" s="17"/>
      <x:c r="B45" s="17"/>
      <x:c r="C45" s="17"/>
      <x:c r="D45" s="17"/>
      <x:c r="E45" s="17"/>
      <x:c r="F45" s="17"/>
      <x:c r="G45" s="17"/>
      <x:c r="H45" s="17"/>
    </x:row>
    <x:row r="46" ht="28" customHeight="1">
      <x:c r="A46" s="3" t="str">
        <x:v>Начало замеров, UTC</x:v>
      </x:c>
      <x:c r="B46" s="58" t="n">
        <x:v>46302.714769467595</x:v>
      </x:c>
      <x:c r="C46" s="3"/>
      <x:c r="D46" s="3"/>
      <x:c r="E46" s="3"/>
      <x:c r="F46" s="3"/>
      <x:c r="G46" s="3"/>
      <x:c r="H46" s="3"/>
    </x:row>
    <x:row r="47" ht="28" customHeight="1">
      <x:c r="A47" s="17" t="str">
        <x:v>Конец замеров, UTC</x:v>
      </x:c>
      <x:c r="B47" s="59" t="n">
        <x:v>46302.77618642361</x:v>
      </x:c>
      <x:c r="C47" s="17"/>
      <x:c r="D47" s="17"/>
      <x:c r="E47" s="17"/>
      <x:c r="F47" s="17"/>
      <x:c r="G47" s="17"/>
      <x:c r="H47" s="17"/>
    </x:row>
    <x:row r="48" ht="32" customHeight="1">
      <x:c r="A48" s="3"/>
      <x:c r="B48" s="3"/>
      <x:c r="C48" s="3"/>
      <x:c r="D48" s="3"/>
      <x:c r="E48" s="3"/>
      <x:c r="F48" s="3"/>
      <x:c r="G48" s="3"/>
      <x:c r="H48" s="3"/>
    </x:row>
    <x:row r="49" ht="32" customHeight="1">
      <x:c r="A49" s="17"/>
      <x:c r="B49" s="17"/>
      <x:c r="C49" s="17"/>
      <x:c r="D49" s="17"/>
      <x:c r="E49" s="17"/>
      <x:c r="F49" s="17"/>
      <x:c r="G49" s="17"/>
      <x:c r="H49" s="17"/>
    </x:row>
    <x:row r="50" ht="32" customHeight="1">
      <x:c r="A50" s="3"/>
      <x:c r="B50" s="3"/>
      <x:c r="C50" s="3"/>
      <x:c r="D50" s="3"/>
      <x:c r="E50" s="3"/>
      <x:c r="F50" s="3"/>
      <x:c r="G50" s="3"/>
      <x:c r="H50" s="3"/>
    </x:row>
    <x:row r="51" ht="32" customHeight="1">
      <x:c r="A51" s="17"/>
      <x:c r="B51" s="17"/>
      <x:c r="C51" s="17"/>
      <x:c r="D51" s="17"/>
      <x:c r="E51" s="17"/>
      <x:c r="F51" s="17"/>
      <x:c r="G51" s="17"/>
      <x:c r="H51" s="17"/>
    </x:row>
    <x:row r="52" ht="32" customHeight="1">
      <x:c r="A52" s="3"/>
      <x:c r="B52" s="3"/>
      <x:c r="C52" s="3"/>
      <x:c r="D52" s="3"/>
      <x:c r="E52" s="3"/>
      <x:c r="F52" s="3"/>
      <x:c r="G52" s="3"/>
      <x:c r="H52" s="3"/>
    </x:row>
    <x:row r="53" ht="32" customHeight="1">
      <x:c r="A53" s="17"/>
      <x:c r="B53" s="17"/>
      <x:c r="C53" s="17"/>
      <x:c r="D53" s="17"/>
      <x:c r="E53" s="17"/>
      <x:c r="F53" s="17"/>
      <x:c r="G53" s="17"/>
      <x:c r="H53" s="17"/>
    </x:row>
    <x:row r="54" ht="32" customHeight="1">
      <x:c r="A54" s="3"/>
      <x:c r="B54" s="3"/>
      <x:c r="C54" s="3"/>
      <x:c r="D54" s="3"/>
      <x:c r="E54" s="3"/>
      <x:c r="F54" s="3"/>
      <x:c r="G54" s="3"/>
      <x:c r="H54" s="3"/>
    </x:row>
    <x:row r="55" ht="32" customHeight="1">
      <x:c r="A55" s="17"/>
      <x:c r="B55" s="17"/>
      <x:c r="C55" s="17"/>
      <x:c r="D55" s="17"/>
      <x:c r="E55" s="17"/>
      <x:c r="F55" s="17"/>
      <x:c r="G55" s="17"/>
      <x:c r="H55" s="17"/>
    </x:row>
    <x:row r="56" ht="32" customHeight="1">
      <x:c r="A56" s="3"/>
      <x:c r="B56" s="3"/>
      <x:c r="C56" s="3"/>
      <x:c r="D56" s="3"/>
      <x:c r="E56" s="3"/>
      <x:c r="F56" s="3"/>
      <x:c r="G56" s="3"/>
      <x:c r="H56" s="3"/>
    </x:row>
    <x:row r="57" ht="32" customHeight="1">
      <x:c r="A57" s="17"/>
      <x:c r="B57" s="17"/>
      <x:c r="C57" s="17"/>
      <x:c r="D57" s="17"/>
      <x:c r="E57" s="17"/>
      <x:c r="F57" s="17"/>
      <x:c r="G57" s="17"/>
      <x:c r="H57" s="17"/>
    </x:row>
    <x:row r="58" ht="32" customHeight="1">
      <x:c r="A58" s="3"/>
      <x:c r="B58" s="3"/>
      <x:c r="C58" s="3"/>
      <x:c r="D58" s="3"/>
      <x:c r="E58" s="3"/>
      <x:c r="F58" s="3"/>
      <x:c r="G58" s="3"/>
      <x:c r="H58" s="3"/>
    </x:row>
    <x:row r="59" ht="32" customHeight="1">
      <x:c r="A59" s="17"/>
      <x:c r="B59" s="17"/>
      <x:c r="C59" s="17"/>
      <x:c r="D59" s="17"/>
      <x:c r="E59" s="17"/>
      <x:c r="F59" s="17"/>
      <x:c r="G59" s="17"/>
      <x:c r="H59" s="17"/>
    </x:row>
    <x:row r="60" ht="32" customHeight="1">
      <x:c r="A60" s="3"/>
      <x:c r="B60" s="3"/>
      <x:c r="C60" s="3"/>
      <x:c r="D60" s="3"/>
      <x:c r="E60" s="3"/>
      <x:c r="F60" s="3"/>
      <x:c r="G60" s="3"/>
      <x:c r="H6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4" hidden="0" customWidth="1"/>
    <x:col min="2" max="2" width="12" hidden="0" customWidth="1"/>
    <x:col min="3" max="3" width="17" hidden="0" customWidth="1"/>
    <x:col min="4" max="4" width="15" hidden="0" customWidth="1"/>
    <x:col min="5" max="5" width="15" hidden="0" customWidth="1"/>
    <x:col min="6" max="6" width="44" hidden="0" customWidth="1"/>
    <x:col min="7" max="7" width="14" hidden="0" customWidth="1"/>
    <x:col min="8" max="8" width="18" hidden="0" customWidth="1"/>
    <x:col min="9" max="9" width="16" hidden="0" customWidth="1"/>
    <x:col min="10" max="10" width="16" hidden="0" customWidth="1"/>
    <x:col min="11" max="11" width="18" hidden="0" customWidth="1"/>
    <x:col min="12" max="12" width="15" hidden="0" customWidth="1"/>
  </x:cols>
  <x:sheetData>
    <x:row r="1" ht="31" customHeight="1">
      <x:c r="A1" s="5" t="str">
        <x:v>Изображения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Размеры файлов. Повторяющиеся пары URL исключены.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4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44" customHeight="1">
      <x:c r="A6" s="14" t="str">
        <x:v>Исходник, URL</x:v>
      </x:c>
      <x:c r="B6" s="15" t="str">
        <x:v>Формат до</x:v>
      </x:c>
      <x:c r="C6" s="15" t="str">
        <x:v>Размер до, байт</x:v>
      </x:c>
      <x:c r="D6" s="15" t="str">
        <x:v>Ширина до, px</x:v>
      </x:c>
      <x:c r="E6" s="15" t="str">
        <x:v>Высота до, px</x:v>
      </x:c>
      <x:c r="F6" s="15" t="str">
        <x:v>Вариант, URL</x:v>
      </x:c>
      <x:c r="G6" s="15" t="str">
        <x:v>Формат после</x:v>
      </x:c>
      <x:c r="H6" s="15" t="str">
        <x:v>Размер после, байт</x:v>
      </x:c>
      <x:c r="I6" s="15" t="str">
        <x:v>Ширина после, px</x:v>
      </x:c>
      <x:c r="J6" s="15" t="str">
        <x:v>Высота после, px</x:v>
      </x:c>
      <x:c r="K6" s="15" t="str">
        <x:v>Снижение, байт</x:v>
      </x:c>
      <x:c r="L6" s="16" t="str">
        <x:v>Снижение, %</x:v>
      </x:c>
    </x:row>
    <x:row r="7" ht="88" customHeight="1">
      <x:c r="A7" s="46" t="str">
        <x:v>https://chistoufa.ru/local/templates/main/img/d6369b8088af2ddf2b3ecbd796a45572.png</x:v>
      </x:c>
      <x:c r="B7" s="17" t="str">
        <x:v>PNG</x:v>
      </x:c>
      <x:c r="C7" s="20" t="n">
        <x:v>835394</x:v>
      </x:c>
      <x:c r="D7" s="20" t="n">
        <x:v>1024</x:v>
      </x:c>
      <x:c r="E7" s="20" t="n">
        <x:v>1024</x:v>
      </x:c>
      <x:c r="F7" s="46" t="str">
        <x:v>https://chistoufa.ru/local/templates/main/img/d6369b8088af2ddf2b3ecbd796a45572.webp</x:v>
      </x:c>
      <x:c r="G7" s="17" t="str">
        <x:v>WEBP</x:v>
      </x:c>
      <x:c r="H7" s="20" t="n">
        <x:v>553318</x:v>
      </x:c>
      <x:c r="I7" s="20" t="n">
        <x:v>1024</x:v>
      </x:c>
      <x:c r="J7" s="20" t="n">
        <x:v>1024</x:v>
      </x:c>
      <x:c r="K7" s="20" t="n">
        <x:f>C7-H7</x:f>
        <x:v>282076</x:v>
      </x:c>
      <x:c r="L7" s="44" t="n">
        <x:f>K7/C7</x:f>
        <x:v>0.3376562436407252</x:v>
      </x:c>
    </x:row>
    <x:row r="8" ht="88" customHeight="1">
      <x:c r="A8" s="47" t="str">
        <x:v>https://chistoufa.ru/upload/iblock/ef8/bs8n7gphsfguda4h7qaart24wq55nbim.png</x:v>
      </x:c>
      <x:c r="B8" s="3" t="str">
        <x:v>PNG</x:v>
      </x:c>
      <x:c r="C8" s="21" t="n">
        <x:v>86983</x:v>
      </x:c>
      <x:c r="D8" s="21" t="n">
        <x:v>1403</x:v>
      </x:c>
      <x:c r="E8" s="21" t="n">
        <x:v>504</x:v>
      </x:c>
      <x:c r="F8" s="47" t="str">
        <x:v>https://chistoufa.ru/upload/iblock/ef8/bs8n7gphsfguda4h7qaart24wq55nbim.webp</x:v>
      </x:c>
      <x:c r="G8" s="3" t="str">
        <x:v>WEBP</x:v>
      </x:c>
      <x:c r="H8" s="21" t="n">
        <x:v>50712</x:v>
      </x:c>
      <x:c r="I8" s="21" t="n">
        <x:v>1403</x:v>
      </x:c>
      <x:c r="J8" s="21" t="n">
        <x:v>504</x:v>
      </x:c>
      <x:c r="K8" s="21" t="n">
        <x:f>C8-H8</x:f>
        <x:v>36271</x:v>
      </x:c>
      <x:c r="L8" s="43" t="n">
        <x:f>K8/C8</x:f>
        <x:v>0.41698952668912315</x:v>
      </x:c>
    </x:row>
    <x:row r="9" ht="88" customHeight="1">
      <x:c r="A9" s="46" t="str">
        <x:v>https://chistoufa.ru/upload/medialibrary/467/n082ltbytwlfnuldxhqxs7a26r30ssu6.png</x:v>
      </x:c>
      <x:c r="B9" s="17" t="str">
        <x:v>PNG</x:v>
      </x:c>
      <x:c r="C9" s="20" t="n">
        <x:v>954627</x:v>
      </x:c>
      <x:c r="D9" s="20" t="n">
        <x:v>1024</x:v>
      </x:c>
      <x:c r="E9" s="20" t="n">
        <x:v>683</x:v>
      </x:c>
      <x:c r="F9" s="46" t="str">
        <x:v>https://chistoufa.ru/upload/medialibrary/467/n082ltbytwlfnuldxhqxs7a26r30ssu6.webp</x:v>
      </x:c>
      <x:c r="G9" s="17" t="str">
        <x:v>WEBP</x:v>
      </x:c>
      <x:c r="H9" s="20" t="n">
        <x:v>604670</x:v>
      </x:c>
      <x:c r="I9" s="20" t="n">
        <x:v>1024</x:v>
      </x:c>
      <x:c r="J9" s="20" t="n">
        <x:v>683</x:v>
      </x:c>
      <x:c r="K9" s="20" t="n">
        <x:f>C9-H9</x:f>
        <x:v>349957</x:v>
      </x:c>
      <x:c r="L9" s="44" t="n">
        <x:f>K9/C9</x:f>
        <x:v>0.36659030176184</x:v>
      </x:c>
    </x:row>
    <x:row r="10" ht="88" customHeight="1">
      <x:c r="A10" s="47" t="str">
        <x:v>https://chistoufa.ru/upload/medialibrary/7a8/98tqzv7pank3sf6ekciuggjzslf3fgb5.png</x:v>
      </x:c>
      <x:c r="B10" s="3" t="str">
        <x:v>PNG</x:v>
      </x:c>
      <x:c r="C10" s="21" t="n">
        <x:v>1081481</x:v>
      </x:c>
      <x:c r="D10" s="21" t="n">
        <x:v>1024</x:v>
      </x:c>
      <x:c r="E10" s="21" t="n">
        <x:v>683</x:v>
      </x:c>
      <x:c r="F10" s="47" t="str">
        <x:v>https://chistoufa.ru/upload/medialibrary/7a8/98tqzv7pank3sf6ekciuggjzslf3fgb5.webp</x:v>
      </x:c>
      <x:c r="G10" s="3" t="str">
        <x:v>WEBP</x:v>
      </x:c>
      <x:c r="H10" s="21" t="n">
        <x:v>731132</x:v>
      </x:c>
      <x:c r="I10" s="21" t="n">
        <x:v>1024</x:v>
      </x:c>
      <x:c r="J10" s="21" t="n">
        <x:v>683</x:v>
      </x:c>
      <x:c r="K10" s="21" t="n">
        <x:f>C10-H10</x:f>
        <x:v>350349</x:v>
      </x:c>
      <x:c r="L10" s="43" t="n">
        <x:f>K10/C10</x:f>
        <x:v>0.32395298669139816</x:v>
      </x:c>
    </x:row>
    <x:row r="11" ht="88" customHeight="1">
      <x:c r="A11" s="46" t="str">
        <x:v>https://chistoufa.ru/upload/medialibrary/8e4/vf553c0mcs92l4mt40bn2v9a3gxip061.png</x:v>
      </x:c>
      <x:c r="B11" s="17" t="str">
        <x:v>PNG</x:v>
      </x:c>
      <x:c r="C11" s="20" t="n">
        <x:v>1021414</x:v>
      </x:c>
      <x:c r="D11" s="20" t="n">
        <x:v>1024</x:v>
      </x:c>
      <x:c r="E11" s="20" t="n">
        <x:v>683</x:v>
      </x:c>
      <x:c r="F11" s="46" t="str">
        <x:v>https://chistoufa.ru/upload/medialibrary/8e4/vf553c0mcs92l4mt40bn2v9a3gxip061.webp</x:v>
      </x:c>
      <x:c r="G11" s="17" t="str">
        <x:v>WEBP</x:v>
      </x:c>
      <x:c r="H11" s="20" t="n">
        <x:v>686402</x:v>
      </x:c>
      <x:c r="I11" s="20" t="n">
        <x:v>1024</x:v>
      </x:c>
      <x:c r="J11" s="20" t="n">
        <x:v>683</x:v>
      </x:c>
      <x:c r="K11" s="20" t="n">
        <x:f>C11-H11</x:f>
        <x:v>335012</x:v>
      </x:c>
      <x:c r="L11" s="44" t="n">
        <x:f>K11/C11</x:f>
        <x:v>0.3279884552199206</x:v>
      </x:c>
    </x:row>
    <x:row r="12" ht="88" customHeight="1">
      <x:c r="A12" s="47" t="str">
        <x:v>https://chistoufa.ru/upload/iblock/60b/7oggn5cpndgdtjlyvphbmdppvlze9bk1.jpg</x:v>
      </x:c>
      <x:c r="B12" s="3" t="str">
        <x:v>JPEG</x:v>
      </x:c>
      <x:c r="C12" s="21" t="n">
        <x:v>723804</x:v>
      </x:c>
      <x:c r="D12" s="21" t="n">
        <x:v>1920</x:v>
      </x:c>
      <x:c r="E12" s="21" t="n">
        <x:v>1080</x:v>
      </x:c>
      <x:c r="F12" s="47" t="str">
        <x:v>https://chistoufa.ru/upload/resize_cache/iblock/60b/360_203_140cd750bba9870f18aada2478b24840a/7oggn5cpndgdtjlyvphbmdppvlze9bk1.jpg</x:v>
      </x:c>
      <x:c r="G12" s="3" t="str">
        <x:v>JPEG</x:v>
      </x:c>
      <x:c r="H12" s="21" t="n">
        <x:v>9274</x:v>
      </x:c>
      <x:c r="I12" s="21" t="n">
        <x:v>360</x:v>
      </x:c>
      <x:c r="J12" s="21" t="n">
        <x:v>203</x:v>
      </x:c>
      <x:c r="K12" s="21" t="n">
        <x:f>C12-H12</x:f>
        <x:v>714530</x:v>
      </x:c>
      <x:c r="L12" s="43" t="n">
        <x:f>K12/C12</x:f>
        <x:v>0.9871871390597454</x:v>
      </x:c>
    </x:row>
    <x:row r="13" ht="88" customHeight="1">
      <x:c r="A13" s="46" t="str">
        <x:v>https://chistoufa.ru/upload/iblock/60b/7oggn5cpndgdtjlyvphbmdppvlze9bk1.jpg</x:v>
      </x:c>
      <x:c r="B13" s="17" t="str">
        <x:v>JPEG</x:v>
      </x:c>
      <x:c r="C13" s="20" t="n">
        <x:v>723804</x:v>
      </x:c>
      <x:c r="D13" s="20" t="n">
        <x:v>1920</x:v>
      </x:c>
      <x:c r="E13" s="20" t="n">
        <x:v>1080</x:v>
      </x:c>
      <x:c r="F13" s="46" t="str">
        <x:v>https://chistoufa.ru/upload/resize_cache/iblock/60b/720_405_140cd750bba9870f18aada2478b24840a/7oggn5cpndgdtjlyvphbmdppvlze9bk1.jpg</x:v>
      </x:c>
      <x:c r="G13" s="17" t="str">
        <x:v>JPEG</x:v>
      </x:c>
      <x:c r="H13" s="20" t="n">
        <x:v>26394</x:v>
      </x:c>
      <x:c r="I13" s="20" t="n">
        <x:v>720</x:v>
      </x:c>
      <x:c r="J13" s="20" t="n">
        <x:v>405</x:v>
      </x:c>
      <x:c r="K13" s="20" t="n">
        <x:f>C13-H13</x:f>
        <x:v>697410</x:v>
      </x:c>
      <x:c r="L13" s="44" t="n">
        <x:f>K13/C13</x:f>
        <x:v>0.9635343269724953</x:v>
      </x:c>
    </x:row>
    <x:row r="14" ht="88" customHeight="1">
      <x:c r="A14" s="47" t="str">
        <x:v>https://chistoufa.ru/upload/iblock/60b/7oggn5cpndgdtjlyvphbmdppvlze9bk1.jpg</x:v>
      </x:c>
      <x:c r="B14" s="3" t="str">
        <x:v>JPEG</x:v>
      </x:c>
      <x:c r="C14" s="21" t="n">
        <x:v>723804</x:v>
      </x:c>
      <x:c r="D14" s="21" t="n">
        <x:v>1920</x:v>
      </x:c>
      <x:c r="E14" s="21" t="n">
        <x:v>1080</x:v>
      </x:c>
      <x:c r="F14" s="47" t="str">
        <x:v>https://chistoufa.ru/upload/resize_cache/iblock/60b/1200_675_140cd750bba9870f18aada2478b24840a/7oggn5cpndgdtjlyvphbmdppvlze9bk1.jpg</x:v>
      </x:c>
      <x:c r="G14" s="3" t="str">
        <x:v>JPEG</x:v>
      </x:c>
      <x:c r="H14" s="21" t="n">
        <x:v>59198</x:v>
      </x:c>
      <x:c r="I14" s="21" t="n">
        <x:v>1200</x:v>
      </x:c>
      <x:c r="J14" s="21" t="n">
        <x:v>675</x:v>
      </x:c>
      <x:c r="K14" s="21" t="n">
        <x:f>C14-H14</x:f>
        <x:v>664606</x:v>
      </x:c>
      <x:c r="L14" s="43" t="n">
        <x:f>K14/C14</x:f>
        <x:v>0.9182126653071826</x:v>
      </x:c>
    </x:row>
    <x:row r="15" ht="88" customHeight="1">
      <x:c r="A15" s="46" t="str">
        <x:v>https://chistoufa.ru/upload/iblock/c5e/axk7gz2swuz0cy5g61m022lyvqcbvkw3.jpg</x:v>
      </x:c>
      <x:c r="B15" s="17" t="str">
        <x:v>JPEG</x:v>
      </x:c>
      <x:c r="C15" s="20" t="n">
        <x:v>250283</x:v>
      </x:c>
      <x:c r="D15" s="20" t="n">
        <x:v>1920</x:v>
      </x:c>
      <x:c r="E15" s="20" t="n">
        <x:v>1080</x:v>
      </x:c>
      <x:c r="F15" s="46" t="str">
        <x:v>https://chistoufa.ru/upload/resize_cache/iblock/c5e/360_203_140cd750bba9870f18aada2478b24840a/axk7gz2swuz0cy5g61m022lyvqcbvkw3.jpg</x:v>
      </x:c>
      <x:c r="G15" s="17" t="str">
        <x:v>JPEG</x:v>
      </x:c>
      <x:c r="H15" s="20" t="n">
        <x:v>27920</x:v>
      </x:c>
      <x:c r="I15" s="20" t="n">
        <x:v>360</x:v>
      </x:c>
      <x:c r="J15" s="20" t="n">
        <x:v>203</x:v>
      </x:c>
      <x:c r="K15" s="20" t="n">
        <x:f>C15-H15</x:f>
        <x:v>222363</x:v>
      </x:c>
      <x:c r="L15" s="44" t="n">
        <x:f>K15/C15</x:f>
        <x:v>0.8884462788123844</x:v>
      </x:c>
    </x:row>
    <x:row r="16" ht="88" customHeight="1">
      <x:c r="A16" s="47" t="str">
        <x:v>https://chistoufa.ru/upload/iblock/c5e/axk7gz2swuz0cy5g61m022lyvqcbvkw3.jpg</x:v>
      </x:c>
      <x:c r="B16" s="3" t="str">
        <x:v>JPEG</x:v>
      </x:c>
      <x:c r="C16" s="21" t="n">
        <x:v>250283</x:v>
      </x:c>
      <x:c r="D16" s="21" t="n">
        <x:v>1920</x:v>
      </x:c>
      <x:c r="E16" s="21" t="n">
        <x:v>1080</x:v>
      </x:c>
      <x:c r="F16" s="47" t="str">
        <x:v>https://chistoufa.ru/upload/resize_cache/iblock/c5e/720_405_140cd750bba9870f18aada2478b24840a/axk7gz2swuz0cy5g61m022lyvqcbvkw3.jpg</x:v>
      </x:c>
      <x:c r="G16" s="3" t="str">
        <x:v>JPEG</x:v>
      </x:c>
      <x:c r="H16" s="21" t="n">
        <x:v>80604</x:v>
      </x:c>
      <x:c r="I16" s="21" t="n">
        <x:v>720</x:v>
      </x:c>
      <x:c r="J16" s="21" t="n">
        <x:v>405</x:v>
      </x:c>
      <x:c r="K16" s="21" t="n">
        <x:f>C16-H16</x:f>
        <x:v>169679</x:v>
      </x:c>
      <x:c r="L16" s="43" t="n">
        <x:f>K16/C16</x:f>
        <x:v>0.6779485622275584</x:v>
      </x:c>
    </x:row>
    <x:row r="17" ht="88" customHeight="1">
      <x:c r="A17" s="46" t="str">
        <x:v>https://chistoufa.ru/upload/iblock/c5e/axk7gz2swuz0cy5g61m022lyvqcbvkw3.jpg</x:v>
      </x:c>
      <x:c r="B17" s="17" t="str">
        <x:v>JPEG</x:v>
      </x:c>
      <x:c r="C17" s="20" t="n">
        <x:v>250283</x:v>
      </x:c>
      <x:c r="D17" s="20" t="n">
        <x:v>1920</x:v>
      </x:c>
      <x:c r="E17" s="20" t="n">
        <x:v>1080</x:v>
      </x:c>
      <x:c r="F17" s="46" t="str">
        <x:v>https://chistoufa.ru/upload/resize_cache/iblock/c5e/1200_675_140cd750bba9870f18aada2478b24840a/axk7gz2swuz0cy5g61m022lyvqcbvkw3.jpg</x:v>
      </x:c>
      <x:c r="G17" s="17" t="str">
        <x:v>JPEG</x:v>
      </x:c>
      <x:c r="H17" s="20" t="n">
        <x:v>168195</x:v>
      </x:c>
      <x:c r="I17" s="20" t="n">
        <x:v>1200</x:v>
      </x:c>
      <x:c r="J17" s="20" t="n">
        <x:v>675</x:v>
      </x:c>
      <x:c r="K17" s="20" t="n">
        <x:f>C17-H17</x:f>
        <x:v>82088</x:v>
      </x:c>
      <x:c r="L17" s="44" t="n">
        <x:f>K17/C17</x:f>
        <x:v>0.3279807258183736</x:v>
      </x:c>
    </x:row>
    <x:row r="18" ht="88" customHeight="1">
      <x:c r="A18" s="47" t="str">
        <x:v>https://chistoufa.ru/upload/iblock/72a/x04tez6hnt3mag6g7inpqf0rcmd9khnv.jpg</x:v>
      </x:c>
      <x:c r="B18" s="3" t="str">
        <x:v>JPEG</x:v>
      </x:c>
      <x:c r="C18" s="21" t="n">
        <x:v>280764</x:v>
      </x:c>
      <x:c r="D18" s="21" t="n">
        <x:v>1920</x:v>
      </x:c>
      <x:c r="E18" s="21" t="n">
        <x:v>1080</x:v>
      </x:c>
      <x:c r="F18" s="47" t="str">
        <x:v>https://chistoufa.ru/upload/resize_cache/iblock/72a/360_203_140cd750bba9870f18aada2478b24840a/x04tez6hnt3mag6g7inpqf0rcmd9khnv.jpg</x:v>
      </x:c>
      <x:c r="G18" s="3" t="str">
        <x:v>JPEG</x:v>
      </x:c>
      <x:c r="H18" s="21" t="n">
        <x:v>25411</x:v>
      </x:c>
      <x:c r="I18" s="21" t="n">
        <x:v>360</x:v>
      </x:c>
      <x:c r="J18" s="21" t="n">
        <x:v>203</x:v>
      </x:c>
      <x:c r="K18" s="21" t="n">
        <x:f>C18-H18</x:f>
        <x:v>255353</x:v>
      </x:c>
      <x:c r="L18" s="43" t="n">
        <x:f>K18/C18</x:f>
        <x:v>0.9094933823424656</x:v>
      </x:c>
    </x:row>
    <x:row r="19" ht="88" customHeight="1">
      <x:c r="A19" s="46" t="str">
        <x:v>https://chistoufa.ru/upload/iblock/72a/x04tez6hnt3mag6g7inpqf0rcmd9khnv.jpg</x:v>
      </x:c>
      <x:c r="B19" s="17" t="str">
        <x:v>JPEG</x:v>
      </x:c>
      <x:c r="C19" s="20" t="n">
        <x:v>280764</x:v>
      </x:c>
      <x:c r="D19" s="20" t="n">
        <x:v>1920</x:v>
      </x:c>
      <x:c r="E19" s="20" t="n">
        <x:v>1080</x:v>
      </x:c>
      <x:c r="F19" s="46" t="str">
        <x:v>https://chistoufa.ru/upload/resize_cache/iblock/72a/720_405_140cd750bba9870f18aada2478b24840a/x04tez6hnt3mag6g7inpqf0rcmd9khnv.jpg</x:v>
      </x:c>
      <x:c r="G19" s="17" t="str">
        <x:v>JPEG</x:v>
      </x:c>
      <x:c r="H19" s="20" t="n">
        <x:v>79708</x:v>
      </x:c>
      <x:c r="I19" s="20" t="n">
        <x:v>720</x:v>
      </x:c>
      <x:c r="J19" s="20" t="n">
        <x:v>405</x:v>
      </x:c>
      <x:c r="K19" s="20" t="n">
        <x:f>C19-H19</x:f>
        <x:v>201056</x:v>
      </x:c>
      <x:c r="L19" s="44" t="n">
        <x:f>K19/C19</x:f>
        <x:v>0.7161032041144876</x:v>
      </x:c>
    </x:row>
    <x:row r="20" ht="88" customHeight="1">
      <x:c r="A20" s="47" t="str">
        <x:v>https://chistoufa.ru/upload/iblock/72a/x04tez6hnt3mag6g7inpqf0rcmd9khnv.jpg</x:v>
      </x:c>
      <x:c r="B20" s="3" t="str">
        <x:v>JPEG</x:v>
      </x:c>
      <x:c r="C20" s="21" t="n">
        <x:v>280764</x:v>
      </x:c>
      <x:c r="D20" s="21" t="n">
        <x:v>1920</x:v>
      </x:c>
      <x:c r="E20" s="21" t="n">
        <x:v>1080</x:v>
      </x:c>
      <x:c r="F20" s="47" t="str">
        <x:v>https://chistoufa.ru/upload/resize_cache/iblock/72a/1200_675_140cd750bba9870f18aada2478b24840a/x04tez6hnt3mag6g7inpqf0rcmd9khnv.jpg</x:v>
      </x:c>
      <x:c r="G20" s="3" t="str">
        <x:v>JPEG</x:v>
      </x:c>
      <x:c r="H20" s="21" t="n">
        <x:v>177503</x:v>
      </x:c>
      <x:c r="I20" s="21" t="n">
        <x:v>1200</x:v>
      </x:c>
      <x:c r="J20" s="21" t="n">
        <x:v>675</x:v>
      </x:c>
      <x:c r="K20" s="21" t="n">
        <x:f>C20-H20</x:f>
        <x:v>103261</x:v>
      </x:c>
      <x:c r="L20" s="43" t="n">
        <x:f>K20/C20</x:f>
        <x:v>0.3677857560086051</x:v>
      </x:c>
    </x:row>
    <x:row r="21" ht="88" customHeight="1">
      <x:c r="A21" s="46" t="str">
        <x:v>https://chistoufa.ru/upload/iblock/924/4q5znbin5zs8j00x0hwgh5p3nvyx9l46.jpg</x:v>
      </x:c>
      <x:c r="B21" s="17" t="str">
        <x:v>JPEG</x:v>
      </x:c>
      <x:c r="C21" s="20" t="n">
        <x:v>220704</x:v>
      </x:c>
      <x:c r="D21" s="20" t="n">
        <x:v>1920</x:v>
      </x:c>
      <x:c r="E21" s="20" t="n">
        <x:v>1080</x:v>
      </x:c>
      <x:c r="F21" s="46" t="str">
        <x:v>https://chistoufa.ru/upload/resize_cache/iblock/924/360_203_140cd750bba9870f18aada2478b24840a/4q5znbin5zs8j00x0hwgh5p3nvyx9l46.jpg</x:v>
      </x:c>
      <x:c r="G21" s="17" t="str">
        <x:v>JPEG</x:v>
      </x:c>
      <x:c r="H21" s="20" t="n">
        <x:v>19249</x:v>
      </x:c>
      <x:c r="I21" s="20" t="n">
        <x:v>360</x:v>
      </x:c>
      <x:c r="J21" s="20" t="n">
        <x:v>203</x:v>
      </x:c>
      <x:c r="K21" s="20" t="n">
        <x:f>C21-H21</x:f>
        <x:v>201455</x:v>
      </x:c>
      <x:c r="L21" s="44" t="n">
        <x:f>K21/C21</x:f>
        <x:v>0.9127836378135421</x:v>
      </x:c>
    </x:row>
    <x:row r="22" ht="88" customHeight="1">
      <x:c r="A22" s="47" t="str">
        <x:v>https://chistoufa.ru/upload/iblock/924/4q5znbin5zs8j00x0hwgh5p3nvyx9l46.jpg</x:v>
      </x:c>
      <x:c r="B22" s="3" t="str">
        <x:v>JPEG</x:v>
      </x:c>
      <x:c r="C22" s="21" t="n">
        <x:v>220704</x:v>
      </x:c>
      <x:c r="D22" s="21" t="n">
        <x:v>1920</x:v>
      </x:c>
      <x:c r="E22" s="21" t="n">
        <x:v>1080</x:v>
      </x:c>
      <x:c r="F22" s="47" t="str">
        <x:v>https://chistoufa.ru/upload/resize_cache/iblock/924/720_405_140cd750bba9870f18aada2478b24840a/4q5znbin5zs8j00x0hwgh5p3nvyx9l46.jpg</x:v>
      </x:c>
      <x:c r="G22" s="3" t="str">
        <x:v>JPEG</x:v>
      </x:c>
      <x:c r="H22" s="21" t="n">
        <x:v>59150</x:v>
      </x:c>
      <x:c r="I22" s="21" t="n">
        <x:v>720</x:v>
      </x:c>
      <x:c r="J22" s="21" t="n">
        <x:v>405</x:v>
      </x:c>
      <x:c r="K22" s="21" t="n">
        <x:f>C22-H22</x:f>
        <x:v>161554</x:v>
      </x:c>
      <x:c r="L22" s="43" t="n">
        <x:f>K22/C22</x:f>
        <x:v>0.7319939828911121</x:v>
      </x:c>
    </x:row>
    <x:row r="23" ht="88" customHeight="1">
      <x:c r="A23" s="46" t="str">
        <x:v>https://chistoufa.ru/upload/iblock/924/4q5znbin5zs8j00x0hwgh5p3nvyx9l46.jpg</x:v>
      </x:c>
      <x:c r="B23" s="17" t="str">
        <x:v>JPEG</x:v>
      </x:c>
      <x:c r="C23" s="20" t="n">
        <x:v>220704</x:v>
      </x:c>
      <x:c r="D23" s="20" t="n">
        <x:v>1920</x:v>
      </x:c>
      <x:c r="E23" s="20" t="n">
        <x:v>1080</x:v>
      </x:c>
      <x:c r="F23" s="46" t="str">
        <x:v>https://chistoufa.ru/upload/resize_cache/iblock/924/1200_675_140cd750bba9870f18aada2478b24840a/4q5znbin5zs8j00x0hwgh5p3nvyx9l46.jpg</x:v>
      </x:c>
      <x:c r="G23" s="17" t="str">
        <x:v>JPEG</x:v>
      </x:c>
      <x:c r="H23" s="20" t="n">
        <x:v>141999</x:v>
      </x:c>
      <x:c r="I23" s="20" t="n">
        <x:v>1200</x:v>
      </x:c>
      <x:c r="J23" s="20" t="n">
        <x:v>675</x:v>
      </x:c>
      <x:c r="K23" s="20" t="n">
        <x:f>C23-H23</x:f>
        <x:v>78705</x:v>
      </x:c>
      <x:c r="L23" s="44" t="n">
        <x:f>K23/C23</x:f>
        <x:v>0.3566088516746411</x:v>
      </x:c>
    </x:row>
    <x:row r="24" ht="88" customHeight="1">
      <x:c r="A24" s="47" t="str">
        <x:v>https://chistoufa.ru/upload/iblock/598/d2xquz2z6x21jh7r02b6em96dnb6sq90.jpg</x:v>
      </x:c>
      <x:c r="B24" s="3" t="str">
        <x:v>JPEG</x:v>
      </x:c>
      <x:c r="C24" s="21" t="n">
        <x:v>241824</x:v>
      </x:c>
      <x:c r="D24" s="21" t="n">
        <x:v>1310</x:v>
      </x:c>
      <x:c r="E24" s="21" t="n">
        <x:v>1080</x:v>
      </x:c>
      <x:c r="F24" s="47" t="str">
        <x:v>https://chistoufa.ru/upload/resize_cache/iblock/598/360_297_140cd750bba9870f18aada2478b24840a/d2xquz2z6x21jh7r02b6em96dnb6sq90.jpg</x:v>
      </x:c>
      <x:c r="G24" s="3" t="str">
        <x:v>JPEG</x:v>
      </x:c>
      <x:c r="H24" s="21" t="n">
        <x:v>23985</x:v>
      </x:c>
      <x:c r="I24" s="21" t="n">
        <x:v>360</x:v>
      </x:c>
      <x:c r="J24" s="21" t="n">
        <x:v>297</x:v>
      </x:c>
      <x:c r="K24" s="21" t="n">
        <x:f>C24-H24</x:f>
        <x:v>217839</x:v>
      </x:c>
      <x:c r="L24" s="43" t="n">
        <x:f>K24/C24</x:f>
        <x:v>0.9008162961492656</x:v>
      </x:c>
    </x:row>
    <x:row r="25" ht="88" customHeight="1">
      <x:c r="A25" s="46" t="str">
        <x:v>https://chistoufa.ru/upload/iblock/598/d2xquz2z6x21jh7r02b6em96dnb6sq90.jpg</x:v>
      </x:c>
      <x:c r="B25" s="17" t="str">
        <x:v>JPEG</x:v>
      </x:c>
      <x:c r="C25" s="20" t="n">
        <x:v>241824</x:v>
      </x:c>
      <x:c r="D25" s="20" t="n">
        <x:v>1310</x:v>
      </x:c>
      <x:c r="E25" s="20" t="n">
        <x:v>1080</x:v>
      </x:c>
      <x:c r="F25" s="46" t="str">
        <x:v>https://chistoufa.ru/upload/resize_cache/iblock/598/720_594_140cd750bba9870f18aada2478b24840a/d2xquz2z6x21jh7r02b6em96dnb6sq90.jpg</x:v>
      </x:c>
      <x:c r="G25" s="17" t="str">
        <x:v>JPEG</x:v>
      </x:c>
      <x:c r="H25" s="20" t="n">
        <x:v>77123</x:v>
      </x:c>
      <x:c r="I25" s="20" t="n">
        <x:v>720</x:v>
      </x:c>
      <x:c r="J25" s="20" t="n">
        <x:v>594</x:v>
      </x:c>
      <x:c r="K25" s="20" t="n">
        <x:f>C25-H25</x:f>
        <x:v>164701</x:v>
      </x:c>
      <x:c r="L25" s="44" t="n">
        <x:f>K25/C25</x:f>
        <x:v>0.6810779740637819</x:v>
      </x:c>
    </x:row>
    <x:row r="26" ht="88" customHeight="1">
      <x:c r="A26" s="47" t="str">
        <x:v>https://chistoufa.ru/upload/iblock/598/d2xquz2z6x21jh7r02b6em96dnb6sq90.jpg</x:v>
      </x:c>
      <x:c r="B26" s="3" t="str">
        <x:v>JPEG</x:v>
      </x:c>
      <x:c r="C26" s="21" t="n">
        <x:v>241824</x:v>
      </x:c>
      <x:c r="D26" s="21" t="n">
        <x:v>1310</x:v>
      </x:c>
      <x:c r="E26" s="21" t="n">
        <x:v>1080</x:v>
      </x:c>
      <x:c r="F26" s="47" t="str">
        <x:v>https://chistoufa.ru/upload/resize_cache/iblock/598/1200_989_140cd750bba9870f18aada2478b24840a/d2xquz2z6x21jh7r02b6em96dnb6sq90.jpg</x:v>
      </x:c>
      <x:c r="G26" s="3" t="str">
        <x:v>JPEG</x:v>
      </x:c>
      <x:c r="H26" s="21" t="n">
        <x:v>168403</x:v>
      </x:c>
      <x:c r="I26" s="21" t="n">
        <x:v>1200</x:v>
      </x:c>
      <x:c r="J26" s="21" t="n">
        <x:v>989</x:v>
      </x:c>
      <x:c r="K26" s="21" t="n">
        <x:f>C26-H26</x:f>
        <x:v>73421</x:v>
      </x:c>
      <x:c r="L26" s="43" t="n">
        <x:f>K26/C26</x:f>
        <x:v>0.3036133717083499</x:v>
      </x:c>
    </x:row>
    <x:row r="27" ht="88" customHeight="1">
      <x:c r="A27" s="46" t="str">
        <x:v>https://chistoufa.ru/upload/iblock/a49/l7t5ty40v7fjui8sfjpqr422sx9c49d2.jpg</x:v>
      </x:c>
      <x:c r="B27" s="17" t="str">
        <x:v>JPEG</x:v>
      </x:c>
      <x:c r="C27" s="20" t="n">
        <x:v>231211</x:v>
      </x:c>
      <x:c r="D27" s="20" t="n">
        <x:v>1280</x:v>
      </x:c>
      <x:c r="E27" s="20" t="n">
        <x:v>720</x:v>
      </x:c>
      <x:c r="F27" s="46" t="str">
        <x:v>https://chistoufa.ru/upload/resize_cache/iblock/a49/360_203_140cd750bba9870f18aada2478b24840a/l7t5ty40v7fjui8sfjpqr422sx9c49d2.jpg</x:v>
      </x:c>
      <x:c r="G27" s="17" t="str">
        <x:v>JPEG</x:v>
      </x:c>
      <x:c r="H27" s="20" t="n">
        <x:v>13464</x:v>
      </x:c>
      <x:c r="I27" s="20" t="n">
        <x:v>360</x:v>
      </x:c>
      <x:c r="J27" s="20" t="n">
        <x:v>203</x:v>
      </x:c>
      <x:c r="K27" s="20" t="n">
        <x:f>C27-H27</x:f>
        <x:v>217747</x:v>
      </x:c>
      <x:c r="L27" s="44" t="n">
        <x:f>K27/C27</x:f>
        <x:v>0.941767476460895</x:v>
      </x:c>
    </x:row>
    <x:row r="28" ht="88" customHeight="1">
      <x:c r="A28" s="47" t="str">
        <x:v>https://chistoufa.ru/upload/iblock/a49/l7t5ty40v7fjui8sfjpqr422sx9c49d2.jpg</x:v>
      </x:c>
      <x:c r="B28" s="3" t="str">
        <x:v>JPEG</x:v>
      </x:c>
      <x:c r="C28" s="21" t="n">
        <x:v>231211</x:v>
      </x:c>
      <x:c r="D28" s="21" t="n">
        <x:v>1280</x:v>
      </x:c>
      <x:c r="E28" s="21" t="n">
        <x:v>720</x:v>
      </x:c>
      <x:c r="F28" s="47" t="str">
        <x:v>https://chistoufa.ru/upload/resize_cache/iblock/a49/720_405_140cd750bba9870f18aada2478b24840a/l7t5ty40v7fjui8sfjpqr422sx9c49d2.jpg</x:v>
      </x:c>
      <x:c r="G28" s="3" t="str">
        <x:v>JPEG</x:v>
      </x:c>
      <x:c r="H28" s="21" t="n">
        <x:v>37456</x:v>
      </x:c>
      <x:c r="I28" s="21" t="n">
        <x:v>720</x:v>
      </x:c>
      <x:c r="J28" s="21" t="n">
        <x:v>405</x:v>
      </x:c>
      <x:c r="K28" s="21" t="n">
        <x:f>C28-H28</x:f>
        <x:v>193755</x:v>
      </x:c>
      <x:c r="L28" s="43" t="n">
        <x:f>K28/C28</x:f>
        <x:v>0.8380007871597804</x:v>
      </x:c>
    </x:row>
    <x:row r="29" ht="88" customHeight="1">
      <x:c r="A29" s="46" t="str">
        <x:v>https://chistoufa.ru/upload/iblock/a49/l7t5ty40v7fjui8sfjpqr422sx9c49d2.jpg</x:v>
      </x:c>
      <x:c r="B29" s="17" t="str">
        <x:v>JPEG</x:v>
      </x:c>
      <x:c r="C29" s="20" t="n">
        <x:v>231211</x:v>
      </x:c>
      <x:c r="D29" s="20" t="n">
        <x:v>1280</x:v>
      </x:c>
      <x:c r="E29" s="20" t="n">
        <x:v>720</x:v>
      </x:c>
      <x:c r="F29" s="46" t="str">
        <x:v>https://chistoufa.ru/upload/resize_cache/iblock/a49/1200_675_140cd750bba9870f18aada2478b24840a/l7t5ty40v7fjui8sfjpqr422sx9c49d2.jpg</x:v>
      </x:c>
      <x:c r="G29" s="17" t="str">
        <x:v>JPEG</x:v>
      </x:c>
      <x:c r="H29" s="20" t="n">
        <x:v>87618</x:v>
      </x:c>
      <x:c r="I29" s="20" t="n">
        <x:v>1200</x:v>
      </x:c>
      <x:c r="J29" s="20" t="n">
        <x:v>675</x:v>
      </x:c>
      <x:c r="K29" s="20" t="n">
        <x:f>C29-H29</x:f>
        <x:v>143593</x:v>
      </x:c>
      <x:c r="L29" s="44" t="n">
        <x:f>K29/C29</x:f>
        <x:v>0.6210474415144608</x:v>
      </x:c>
    </x:row>
    <x:row r="30" ht="88" customHeight="1">
      <x:c r="A30" s="47" t="str">
        <x:v>https://chistoufa.ru/upload/iblock/5fe/6elxc5ns1o96kbqhavv0do8jimh1kzv9.jpg</x:v>
      </x:c>
      <x:c r="B30" s="3" t="str">
        <x:v>JPEG</x:v>
      </x:c>
      <x:c r="C30" s="21" t="n">
        <x:v>253173</x:v>
      </x:c>
      <x:c r="D30" s="21" t="n">
        <x:v>1600</x:v>
      </x:c>
      <x:c r="E30" s="21" t="n">
        <x:v>956</x:v>
      </x:c>
      <x:c r="F30" s="47" t="str">
        <x:v>https://chistoufa.ru/upload/resize_cache/iblock/5fe/360_215_140cd750bba9870f18aada2478b24840a/6elxc5ns1o96kbqhavv0do8jimh1kzv9.jpg</x:v>
      </x:c>
      <x:c r="G30" s="3" t="str">
        <x:v>JPEG</x:v>
      </x:c>
      <x:c r="H30" s="21" t="n">
        <x:v>21845</x:v>
      </x:c>
      <x:c r="I30" s="21" t="n">
        <x:v>360</x:v>
      </x:c>
      <x:c r="J30" s="21" t="n">
        <x:v>215</x:v>
      </x:c>
      <x:c r="K30" s="21" t="n">
        <x:f>C30-H30</x:f>
        <x:v>231328</x:v>
      </x:c>
      <x:c r="L30" s="43" t="n">
        <x:f>K30/C30</x:f>
        <x:v>0.9137151276004946</x:v>
      </x:c>
    </x:row>
    <x:row r="31" ht="88" customHeight="1">
      <x:c r="A31" s="46" t="str">
        <x:v>https://chistoufa.ru/upload/iblock/5fe/6elxc5ns1o96kbqhavv0do8jimh1kzv9.jpg</x:v>
      </x:c>
      <x:c r="B31" s="17" t="str">
        <x:v>JPEG</x:v>
      </x:c>
      <x:c r="C31" s="20" t="n">
        <x:v>253173</x:v>
      </x:c>
      <x:c r="D31" s="20" t="n">
        <x:v>1600</x:v>
      </x:c>
      <x:c r="E31" s="20" t="n">
        <x:v>956</x:v>
      </x:c>
      <x:c r="F31" s="46" t="str">
        <x:v>https://chistoufa.ru/upload/resize_cache/iblock/5fe/720_430_140cd750bba9870f18aada2478b24840a/6elxc5ns1o96kbqhavv0do8jimh1kzv9.jpg</x:v>
      </x:c>
      <x:c r="G31" s="17" t="str">
        <x:v>JPEG</x:v>
      </x:c>
      <x:c r="H31" s="20" t="n">
        <x:v>74848</x:v>
      </x:c>
      <x:c r="I31" s="20" t="n">
        <x:v>720</x:v>
      </x:c>
      <x:c r="J31" s="20" t="n">
        <x:v>430</x:v>
      </x:c>
      <x:c r="K31" s="20" t="n">
        <x:f>C31-H31</x:f>
        <x:v>178325</x:v>
      </x:c>
      <x:c r="L31" s="44" t="n">
        <x:f>K31/C31</x:f>
        <x:v>0.7043602595853429</x:v>
      </x:c>
    </x:row>
    <x:row r="32" ht="88" customHeight="1">
      <x:c r="A32" s="47" t="str">
        <x:v>https://chistoufa.ru/upload/iblock/5fe/6elxc5ns1o96kbqhavv0do8jimh1kzv9.jpg</x:v>
      </x:c>
      <x:c r="B32" s="3" t="str">
        <x:v>JPEG</x:v>
      </x:c>
      <x:c r="C32" s="21" t="n">
        <x:v>253173</x:v>
      </x:c>
      <x:c r="D32" s="21" t="n">
        <x:v>1600</x:v>
      </x:c>
      <x:c r="E32" s="21" t="n">
        <x:v>956</x:v>
      </x:c>
      <x:c r="F32" s="47" t="str">
        <x:v>https://chistoufa.ru/upload/resize_cache/iblock/5fe/1200_717_140cd750bba9870f18aada2478b24840a/6elxc5ns1o96kbqhavv0do8jimh1kzv9.jpg</x:v>
      </x:c>
      <x:c r="G32" s="3" t="str">
        <x:v>JPEG</x:v>
      </x:c>
      <x:c r="H32" s="21" t="n">
        <x:v>185746</x:v>
      </x:c>
      <x:c r="I32" s="21" t="n">
        <x:v>1200</x:v>
      </x:c>
      <x:c r="J32" s="21" t="n">
        <x:v>717</x:v>
      </x:c>
      <x:c r="K32" s="21" t="n">
        <x:f>C32-H32</x:f>
        <x:v>67427</x:v>
      </x:c>
      <x:c r="L32" s="43" t="n">
        <x:f>K32/C32</x:f>
        <x:v>0.26632776796893826</x:v>
      </x:c>
    </x:row>
    <x:row r="33" ht="88" customHeight="1">
      <x:c r="A33" s="46" t="str">
        <x:v>https://chistoufa.ru/upload/iblock/b4b/68mpd117a3vw4w696t6e0anzne1eky4o.jpg</x:v>
      </x:c>
      <x:c r="B33" s="17" t="str">
        <x:v>JPEG</x:v>
      </x:c>
      <x:c r="C33" s="20" t="n">
        <x:v>112750</x:v>
      </x:c>
      <x:c r="D33" s="20" t="n">
        <x:v>1600</x:v>
      </x:c>
      <x:c r="E33" s="20" t="n">
        <x:v>956</x:v>
      </x:c>
      <x:c r="F33" s="46" t="str">
        <x:v>https://chistoufa.ru/upload/resize_cache/iblock/b4b/360_215_140cd750bba9870f18aada2478b24840a/68mpd117a3vw4w696t6e0anzne1eky4o.jpg</x:v>
      </x:c>
      <x:c r="G33" s="17" t="str">
        <x:v>JPEG</x:v>
      </x:c>
      <x:c r="H33" s="20" t="n">
        <x:v>15079</x:v>
      </x:c>
      <x:c r="I33" s="20" t="n">
        <x:v>360</x:v>
      </x:c>
      <x:c r="J33" s="20" t="n">
        <x:v>215</x:v>
      </x:c>
      <x:c r="K33" s="20" t="n">
        <x:f>C33-H33</x:f>
        <x:v>97671</x:v>
      </x:c>
      <x:c r="L33" s="44" t="n">
        <x:f>K33/C33</x:f>
        <x:v>0.8662616407982262</x:v>
      </x:c>
    </x:row>
    <x:row r="34" ht="88" customHeight="1">
      <x:c r="A34" s="47" t="str">
        <x:v>https://chistoufa.ru/upload/iblock/b4b/68mpd117a3vw4w696t6e0anzne1eky4o.jpg</x:v>
      </x:c>
      <x:c r="B34" s="3" t="str">
        <x:v>JPEG</x:v>
      </x:c>
      <x:c r="C34" s="21" t="n">
        <x:v>112750</x:v>
      </x:c>
      <x:c r="D34" s="21" t="n">
        <x:v>1600</x:v>
      </x:c>
      <x:c r="E34" s="21" t="n">
        <x:v>956</x:v>
      </x:c>
      <x:c r="F34" s="47" t="str">
        <x:v>https://chistoufa.ru/upload/resize_cache/iblock/b4b/720_430_140cd750bba9870f18aada2478b24840a/68mpd117a3vw4w696t6e0anzne1eky4o.jpg</x:v>
      </x:c>
      <x:c r="G34" s="3" t="str">
        <x:v>JPEG</x:v>
      </x:c>
      <x:c r="H34" s="21" t="n">
        <x:v>43847</x:v>
      </x:c>
      <x:c r="I34" s="21" t="n">
        <x:v>720</x:v>
      </x:c>
      <x:c r="J34" s="21" t="n">
        <x:v>430</x:v>
      </x:c>
      <x:c r="K34" s="21" t="n">
        <x:f>C34-H34</x:f>
        <x:v>68903</x:v>
      </x:c>
      <x:c r="L34" s="43" t="n">
        <x:f>K34/C34</x:f>
        <x:v>0.6111130820399113</x:v>
      </x:c>
    </x:row>
    <x:row r="35" ht="88" customHeight="1">
      <x:c r="A35" s="46" t="str">
        <x:v>https://chistoufa.ru/upload/iblock/b4b/68mpd117a3vw4w696t6e0anzne1eky4o.jpg</x:v>
      </x:c>
      <x:c r="B35" s="17" t="str">
        <x:v>JPEG</x:v>
      </x:c>
      <x:c r="C35" s="20" t="n">
        <x:v>112750</x:v>
      </x:c>
      <x:c r="D35" s="20" t="n">
        <x:v>1600</x:v>
      </x:c>
      <x:c r="E35" s="20" t="n">
        <x:v>956</x:v>
      </x:c>
      <x:c r="F35" s="46" t="str">
        <x:v>https://chistoufa.ru/upload/resize_cache/iblock/b4b/1200_717_140cd750bba9870f18aada2478b24840a/68mpd117a3vw4w696t6e0anzne1eky4o.jpg</x:v>
      </x:c>
      <x:c r="G35" s="17" t="str">
        <x:v>JPEG</x:v>
      </x:c>
      <x:c r="H35" s="20" t="n">
        <x:v>96569</x:v>
      </x:c>
      <x:c r="I35" s="20" t="n">
        <x:v>1200</x:v>
      </x:c>
      <x:c r="J35" s="20" t="n">
        <x:v>717</x:v>
      </x:c>
      <x:c r="K35" s="20" t="n">
        <x:f>C35-H35</x:f>
        <x:v>16181</x:v>
      </x:c>
      <x:c r="L35" s="44" t="n">
        <x:f>K35/C35</x:f>
        <x:v>0.1435121951219512</x:v>
      </x:c>
    </x:row>
    <x:row r="36" ht="88" customHeight="1">
      <x:c r="A36" s="47" t="str">
        <x:v>https://chistoufa.ru/upload/iblock/908/v07o20l5iq4le51bclo7kglrvqk6ffyl.jpg</x:v>
      </x:c>
      <x:c r="B36" s="3" t="str">
        <x:v>JPEG</x:v>
      </x:c>
      <x:c r="C36" s="21" t="n">
        <x:v>218742</x:v>
      </x:c>
      <x:c r="D36" s="21" t="n">
        <x:v>1280</x:v>
      </x:c>
      <x:c r="E36" s="21" t="n">
        <x:v>747</x:v>
      </x:c>
      <x:c r="F36" s="47" t="str">
        <x:v>https://chistoufa.ru/upload/resize_cache/iblock/908/360_210_140cd750bba9870f18aada2478b24840a/v07o20l5iq4le51bclo7kglrvqk6ffyl.jpg</x:v>
      </x:c>
      <x:c r="G36" s="3" t="str">
        <x:v>JPEG</x:v>
      </x:c>
      <x:c r="H36" s="21" t="n">
        <x:v>23146</x:v>
      </x:c>
      <x:c r="I36" s="21" t="n">
        <x:v>360</x:v>
      </x:c>
      <x:c r="J36" s="21" t="n">
        <x:v>210</x:v>
      </x:c>
      <x:c r="K36" s="21" t="n">
        <x:f>C36-H36</x:f>
        <x:v>195596</x:v>
      </x:c>
      <x:c r="L36" s="43" t="n">
        <x:f>K36/C36</x:f>
        <x:v>0.894185844510885</x:v>
      </x:c>
    </x:row>
    <x:row r="37" ht="88" customHeight="1">
      <x:c r="A37" s="46" t="str">
        <x:v>https://chistoufa.ru/upload/iblock/908/v07o20l5iq4le51bclo7kglrvqk6ffyl.jpg</x:v>
      </x:c>
      <x:c r="B37" s="17" t="str">
        <x:v>JPEG</x:v>
      </x:c>
      <x:c r="C37" s="20" t="n">
        <x:v>218742</x:v>
      </x:c>
      <x:c r="D37" s="20" t="n">
        <x:v>1280</x:v>
      </x:c>
      <x:c r="E37" s="20" t="n">
        <x:v>747</x:v>
      </x:c>
      <x:c r="F37" s="46" t="str">
        <x:v>https://chistoufa.ru/upload/resize_cache/iblock/908/720_420_140cd750bba9870f18aada2478b24840a/v07o20l5iq4le51bclo7kglrvqk6ffyl.jpg</x:v>
      </x:c>
      <x:c r="G37" s="17" t="str">
        <x:v>JPEG</x:v>
      </x:c>
      <x:c r="H37" s="20" t="n">
        <x:v>77957</x:v>
      </x:c>
      <x:c r="I37" s="20" t="n">
        <x:v>720</x:v>
      </x:c>
      <x:c r="J37" s="20" t="n">
        <x:v>420</x:v>
      </x:c>
      <x:c r="K37" s="20" t="n">
        <x:f>C37-H37</x:f>
        <x:v>140785</x:v>
      </x:c>
      <x:c r="L37" s="44" t="n">
        <x:f>K37/C37</x:f>
        <x:v>0.6436121092428523</x:v>
      </x:c>
    </x:row>
    <x:row r="38" ht="88" customHeight="1">
      <x:c r="A38" s="47" t="str">
        <x:v>https://chistoufa.ru/upload/iblock/908/v07o20l5iq4le51bclo7kglrvqk6ffyl.jpg</x:v>
      </x:c>
      <x:c r="B38" s="3" t="str">
        <x:v>JPEG</x:v>
      </x:c>
      <x:c r="C38" s="21" t="n">
        <x:v>218742</x:v>
      </x:c>
      <x:c r="D38" s="21" t="n">
        <x:v>1280</x:v>
      </x:c>
      <x:c r="E38" s="21" t="n">
        <x:v>747</x:v>
      </x:c>
      <x:c r="F38" s="47" t="str">
        <x:v>https://chistoufa.ru/upload/resize_cache/iblock/908/1200_700_140cd750bba9870f18aada2478b24840a/v07o20l5iq4le51bclo7kglrvqk6ffyl.jpg</x:v>
      </x:c>
      <x:c r="G38" s="3" t="str">
        <x:v>JPEG</x:v>
      </x:c>
      <x:c r="H38" s="21" t="n">
        <x:v>185256</x:v>
      </x:c>
      <x:c r="I38" s="21" t="n">
        <x:v>1199</x:v>
      </x:c>
      <x:c r="J38" s="21" t="n">
        <x:v>700</x:v>
      </x:c>
      <x:c r="K38" s="21" t="n">
        <x:f>C38-H38</x:f>
        <x:v>33486</x:v>
      </x:c>
      <x:c r="L38" s="43" t="n">
        <x:f>K38/C38</x:f>
        <x:v>0.1530844556600927</x:v>
      </x:c>
    </x:row>
    <x:row r="39" ht="88" customHeight="1">
      <x:c r="A39" s="46" t="str">
        <x:v>https://chistoufa.ru/upload/iblock/9be/ibxy8spfylm5eoama5amu78j8e196iiz.jpg</x:v>
      </x:c>
      <x:c r="B39" s="17" t="str">
        <x:v>JPEG</x:v>
      </x:c>
      <x:c r="C39" s="20" t="n">
        <x:v>250003</x:v>
      </x:c>
      <x:c r="D39" s="20" t="n">
        <x:v>1200</x:v>
      </x:c>
      <x:c r="E39" s="20" t="n">
        <x:v>800</x:v>
      </x:c>
      <x:c r="F39" s="46" t="str">
        <x:v>https://chistoufa.ru/upload/resize_cache/iblock/9be/360_240_140cd750bba9870f18aada2478b24840a/ibxy8spfylm5eoama5amu78j8e196iiz.jpg</x:v>
      </x:c>
      <x:c r="G39" s="17" t="str">
        <x:v>JPEG</x:v>
      </x:c>
      <x:c r="H39" s="20" t="n">
        <x:v>14965</x:v>
      </x:c>
      <x:c r="I39" s="20" t="n">
        <x:v>360</x:v>
      </x:c>
      <x:c r="J39" s="20" t="n">
        <x:v>240</x:v>
      </x:c>
      <x:c r="K39" s="20" t="n">
        <x:f>C39-H39</x:f>
        <x:v>235038</x:v>
      </x:c>
      <x:c r="L39" s="44" t="n">
        <x:f>K39/C39</x:f>
        <x:v>0.9401407183113802</x:v>
      </x:c>
    </x:row>
    <x:row r="40" ht="88" customHeight="1">
      <x:c r="A40" s="47" t="str">
        <x:v>https://chistoufa.ru/upload/iblock/9be/ibxy8spfylm5eoama5amu78j8e196iiz.jpg</x:v>
      </x:c>
      <x:c r="B40" s="3" t="str">
        <x:v>JPEG</x:v>
      </x:c>
      <x:c r="C40" s="21" t="n">
        <x:v>250003</x:v>
      </x:c>
      <x:c r="D40" s="21" t="n">
        <x:v>1200</x:v>
      </x:c>
      <x:c r="E40" s="21" t="n">
        <x:v>800</x:v>
      </x:c>
      <x:c r="F40" s="47" t="str">
        <x:v>https://chistoufa.ru/upload/resize_cache/iblock/9be/720_480_140cd750bba9870f18aada2478b24840a/ibxy8spfylm5eoama5amu78j8e196iiz.jpg</x:v>
      </x:c>
      <x:c r="G40" s="3" t="str">
        <x:v>JPEG</x:v>
      </x:c>
      <x:c r="H40" s="21" t="n">
        <x:v>43818</x:v>
      </x:c>
      <x:c r="I40" s="21" t="n">
        <x:v>720</x:v>
      </x:c>
      <x:c r="J40" s="21" t="n">
        <x:v>480</x:v>
      </x:c>
      <x:c r="K40" s="21" t="n">
        <x:f>C40-H40</x:f>
        <x:v>206185</x:v>
      </x:c>
      <x:c r="L40" s="43" t="n">
        <x:f>K40/C40</x:f>
        <x:v>0.8247301032387612</x:v>
      </x:c>
    </x:row>
    <x:row r="41" ht="88" customHeight="1">
      <x:c r="A41" s="46" t="str">
        <x:v>https://chistoufa.ru/upload/iblock/f67/raz6o9knpi74amig6ycqbhcmrdjfjcwx.jpg</x:v>
      </x:c>
      <x:c r="B41" s="17" t="str">
        <x:v>JPEG</x:v>
      </x:c>
      <x:c r="C41" s="20" t="n">
        <x:v>382453</x:v>
      </x:c>
      <x:c r="D41" s="20" t="n">
        <x:v>1200</x:v>
      </x:c>
      <x:c r="E41" s="20" t="n">
        <x:v>800</x:v>
      </x:c>
      <x:c r="F41" s="46" t="str">
        <x:v>https://chistoufa.ru/upload/resize_cache/iblock/f67/360_240_140cd750bba9870f18aada2478b24840a/raz6o9knpi74amig6ycqbhcmrdjfjcwx.jpg</x:v>
      </x:c>
      <x:c r="G41" s="17" t="str">
        <x:v>JPEG</x:v>
      </x:c>
      <x:c r="H41" s="20" t="n">
        <x:v>19983</x:v>
      </x:c>
      <x:c r="I41" s="20" t="n">
        <x:v>360</x:v>
      </x:c>
      <x:c r="J41" s="20" t="n">
        <x:v>240</x:v>
      </x:c>
      <x:c r="K41" s="20" t="n">
        <x:f>C41-H41</x:f>
        <x:v>362470</x:v>
      </x:c>
      <x:c r="L41" s="44" t="n">
        <x:f>K41/C41</x:f>
        <x:v>0.9477504425380373</x:v>
      </x:c>
    </x:row>
    <x:row r="42" ht="88" customHeight="1">
      <x:c r="A42" s="47" t="str">
        <x:v>https://chistoufa.ru/upload/iblock/f67/raz6o9knpi74amig6ycqbhcmrdjfjcwx.jpg</x:v>
      </x:c>
      <x:c r="B42" s="3" t="str">
        <x:v>JPEG</x:v>
      </x:c>
      <x:c r="C42" s="21" t="n">
        <x:v>382453</x:v>
      </x:c>
      <x:c r="D42" s="21" t="n">
        <x:v>1200</x:v>
      </x:c>
      <x:c r="E42" s="21" t="n">
        <x:v>800</x:v>
      </x:c>
      <x:c r="F42" s="47" t="str">
        <x:v>https://chistoufa.ru/upload/resize_cache/iblock/f67/720_480_140cd750bba9870f18aada2478b24840a/raz6o9knpi74amig6ycqbhcmrdjfjcwx.jpg</x:v>
      </x:c>
      <x:c r="G42" s="3" t="str">
        <x:v>JPEG</x:v>
      </x:c>
      <x:c r="H42" s="21" t="n">
        <x:v>65527</x:v>
      </x:c>
      <x:c r="I42" s="21" t="n">
        <x:v>720</x:v>
      </x:c>
      <x:c r="J42" s="21" t="n">
        <x:v>480</x:v>
      </x:c>
      <x:c r="K42" s="21" t="n">
        <x:f>C42-H42</x:f>
        <x:v>316926</x:v>
      </x:c>
      <x:c r="L42" s="43" t="n">
        <x:f>K42/C42</x:f>
        <x:v>0.828666528959114</x:v>
      </x:c>
    </x:row>
    <x:row r="43" ht="88" customHeight="1">
      <x:c r="A43" s="46" t="str">
        <x:v>https://chistoufa.ru/upload/iblock/d7a/jknqimpb7vwdv3n00zs43tptouuqdz1p.jpg</x:v>
      </x:c>
      <x:c r="B43" s="17" t="str">
        <x:v>JPEG</x:v>
      </x:c>
      <x:c r="C43" s="20" t="n">
        <x:v>260378</x:v>
      </x:c>
      <x:c r="D43" s="20" t="n">
        <x:v>1200</x:v>
      </x:c>
      <x:c r="E43" s="20" t="n">
        <x:v>800</x:v>
      </x:c>
      <x:c r="F43" s="46" t="str">
        <x:v>https://chistoufa.ru/upload/resize_cache/iblock/d7a/360_240_140cd750bba9870f18aada2478b24840a/jknqimpb7vwdv3n00zs43tptouuqdz1p.jpg</x:v>
      </x:c>
      <x:c r="G43" s="17" t="str">
        <x:v>JPEG</x:v>
      </x:c>
      <x:c r="H43" s="20" t="n">
        <x:v>19490</x:v>
      </x:c>
      <x:c r="I43" s="20" t="n">
        <x:v>360</x:v>
      </x:c>
      <x:c r="J43" s="20" t="n">
        <x:v>240</x:v>
      </x:c>
      <x:c r="K43" s="20" t="n">
        <x:f>C43-H43</x:f>
        <x:v>240888</x:v>
      </x:c>
      <x:c r="L43" s="44" t="n">
        <x:f>K43/C43</x:f>
        <x:v>0.9251472858690059</x:v>
      </x:c>
    </x:row>
    <x:row r="44" ht="88" customHeight="1">
      <x:c r="A44" s="47" t="str">
        <x:v>https://chistoufa.ru/upload/iblock/d7a/jknqimpb7vwdv3n00zs43tptouuqdz1p.jpg</x:v>
      </x:c>
      <x:c r="B44" s="3" t="str">
        <x:v>JPEG</x:v>
      </x:c>
      <x:c r="C44" s="21" t="n">
        <x:v>260378</x:v>
      </x:c>
      <x:c r="D44" s="21" t="n">
        <x:v>1200</x:v>
      </x:c>
      <x:c r="E44" s="21" t="n">
        <x:v>800</x:v>
      </x:c>
      <x:c r="F44" s="47" t="str">
        <x:v>https://chistoufa.ru/upload/resize_cache/iblock/d7a/720_480_140cd750bba9870f18aada2478b24840a/jknqimpb7vwdv3n00zs43tptouuqdz1p.jpg</x:v>
      </x:c>
      <x:c r="G44" s="3" t="str">
        <x:v>JPEG</x:v>
      </x:c>
      <x:c r="H44" s="21" t="n">
        <x:v>55552</x:v>
      </x:c>
      <x:c r="I44" s="21" t="n">
        <x:v>720</x:v>
      </x:c>
      <x:c r="J44" s="21" t="n">
        <x:v>480</x:v>
      </x:c>
      <x:c r="K44" s="21" t="n">
        <x:f>C44-H44</x:f>
        <x:v>204826</x:v>
      </x:c>
      <x:c r="L44" s="43" t="n">
        <x:f>K44/C44</x:f>
        <x:v>0.7866486415903033</x:v>
      </x:c>
    </x:row>
    <x:row r="45" ht="88" customHeight="1">
      <x:c r="A45" s="46" t="str">
        <x:v>https://chistoufa.ru/upload/iblock/d62/zq9vzy80kg6x2be46iqo116h4ffmvn2l.JPG</x:v>
      </x:c>
      <x:c r="B45" s="17" t="str">
        <x:v>JPEG</x:v>
      </x:c>
      <x:c r="C45" s="20" t="n">
        <x:v>253885</x:v>
      </x:c>
      <x:c r="D45" s="20" t="n">
        <x:v>1200</x:v>
      </x:c>
      <x:c r="E45" s="20" t="n">
        <x:v>675</x:v>
      </x:c>
      <x:c r="F45" s="46" t="str">
        <x:v>https://chistoufa.ru/upload/resize_cache/iblock/d62/360_203_140cd750bba9870f18aada2478b24840a/zq9vzy80kg6x2be46iqo116h4ffmvn2l.JPG</x:v>
      </x:c>
      <x:c r="G45" s="17" t="str">
        <x:v>JPEG</x:v>
      </x:c>
      <x:c r="H45" s="20" t="n">
        <x:v>17611</x:v>
      </x:c>
      <x:c r="I45" s="20" t="n">
        <x:v>360</x:v>
      </x:c>
      <x:c r="J45" s="20" t="n">
        <x:v>203</x:v>
      </x:c>
      <x:c r="K45" s="20" t="n">
        <x:f>C45-H45</x:f>
        <x:v>236274</x:v>
      </x:c>
      <x:c r="L45" s="44" t="n">
        <x:f>K45/C45</x:f>
        <x:v>0.9306339484412234</x:v>
      </x:c>
    </x:row>
    <x:row r="46" ht="88" customHeight="1">
      <x:c r="A46" s="47" t="str">
        <x:v>https://chistoufa.ru/upload/iblock/d62/zq9vzy80kg6x2be46iqo116h4ffmvn2l.JPG</x:v>
      </x:c>
      <x:c r="B46" s="3" t="str">
        <x:v>JPEG</x:v>
      </x:c>
      <x:c r="C46" s="21" t="n">
        <x:v>253885</x:v>
      </x:c>
      <x:c r="D46" s="21" t="n">
        <x:v>1200</x:v>
      </x:c>
      <x:c r="E46" s="21" t="n">
        <x:v>675</x:v>
      </x:c>
      <x:c r="F46" s="47" t="str">
        <x:v>https://chistoufa.ru/upload/resize_cache/iblock/d62/720_405_140cd750bba9870f18aada2478b24840a/zq9vzy80kg6x2be46iqo116h4ffmvn2l.JPG</x:v>
      </x:c>
      <x:c r="G46" s="3" t="str">
        <x:v>JPEG</x:v>
      </x:c>
      <x:c r="H46" s="21" t="n">
        <x:v>48860</x:v>
      </x:c>
      <x:c r="I46" s="21" t="n">
        <x:v>720</x:v>
      </x:c>
      <x:c r="J46" s="21" t="n">
        <x:v>405</x:v>
      </x:c>
      <x:c r="K46" s="21" t="n">
        <x:f>C46-H46</x:f>
        <x:v>205025</x:v>
      </x:c>
      <x:c r="L46" s="43" t="n">
        <x:f>K46/C46</x:f>
        <x:v>0.8075506627016169</x:v>
      </x:c>
    </x:row>
    <x:row r="47" ht="88" customHeight="1">
      <x:c r="A47" s="46" t="str">
        <x:v>https://chistoufa.ru/upload/iblock/304/dvcifxs0dq32jtb8otetwufu4673psli.jpg</x:v>
      </x:c>
      <x:c r="B47" s="17" t="str">
        <x:v>JPEG</x:v>
      </x:c>
      <x:c r="C47" s="20" t="n">
        <x:v>440870</x:v>
      </x:c>
      <x:c r="D47" s="20" t="n">
        <x:v>1200</x:v>
      </x:c>
      <x:c r="E47" s="20" t="n">
        <x:v>900</x:v>
      </x:c>
      <x:c r="F47" s="46" t="str">
        <x:v>https://chistoufa.ru/upload/resize_cache/iblock/304/360_270_140cd750bba9870f18aada2478b24840a/dvcifxs0dq32jtb8otetwufu4673psli.jpg</x:v>
      </x:c>
      <x:c r="G47" s="17" t="str">
        <x:v>JPEG</x:v>
      </x:c>
      <x:c r="H47" s="20" t="n">
        <x:v>24601</x:v>
      </x:c>
      <x:c r="I47" s="20" t="n">
        <x:v>360</x:v>
      </x:c>
      <x:c r="J47" s="20" t="n">
        <x:v>270</x:v>
      </x:c>
      <x:c r="K47" s="20" t="n">
        <x:f>C47-H47</x:f>
        <x:v>416269</x:v>
      </x:c>
      <x:c r="L47" s="44" t="n">
        <x:f>K47/C47</x:f>
        <x:v>0.944198970217978</x:v>
      </x:c>
    </x:row>
    <x:row r="48" ht="88" customHeight="1">
      <x:c r="A48" s="47" t="str">
        <x:v>https://chistoufa.ru/upload/iblock/304/dvcifxs0dq32jtb8otetwufu4673psli.jpg</x:v>
      </x:c>
      <x:c r="B48" s="3" t="str">
        <x:v>JPEG</x:v>
      </x:c>
      <x:c r="C48" s="21" t="n">
        <x:v>440870</x:v>
      </x:c>
      <x:c r="D48" s="21" t="n">
        <x:v>1200</x:v>
      </x:c>
      <x:c r="E48" s="21" t="n">
        <x:v>900</x:v>
      </x:c>
      <x:c r="F48" s="47" t="str">
        <x:v>https://chistoufa.ru/upload/resize_cache/iblock/304/720_540_140cd750bba9870f18aada2478b24840a/dvcifxs0dq32jtb8otetwufu4673psli.jpg</x:v>
      </x:c>
      <x:c r="G48" s="3" t="str">
        <x:v>JPEG</x:v>
      </x:c>
      <x:c r="H48" s="21" t="n">
        <x:v>80232</x:v>
      </x:c>
      <x:c r="I48" s="21" t="n">
        <x:v>720</x:v>
      </x:c>
      <x:c r="J48" s="21" t="n">
        <x:v>540</x:v>
      </x:c>
      <x:c r="K48" s="21" t="n">
        <x:f>C48-H48</x:f>
        <x:v>360638</x:v>
      </x:c>
      <x:c r="L48" s="43" t="n">
        <x:f>K48/C48</x:f>
        <x:v>0.8180143806564293</x:v>
      </x:c>
    </x:row>
    <x:row r="49" ht="88" customHeight="1">
      <x:c r="A49" s="46" t="str">
        <x:v>https://chistoufa.ru/upload/iblock/b17/o25z4bp7fr84gx6udy4tsg6f0putdtay.jpg</x:v>
      </x:c>
      <x:c r="B49" s="17" t="str">
        <x:v>JPEG</x:v>
      </x:c>
      <x:c r="C49" s="20" t="n">
        <x:v>95824</x:v>
      </x:c>
      <x:c r="D49" s="20" t="n">
        <x:v>837</x:v>
      </x:c>
      <x:c r="E49" s="20" t="n">
        <x:v>491</x:v>
      </x:c>
      <x:c r="F49" s="46" t="str">
        <x:v>https://chistoufa.ru/upload/resize_cache/iblock/b17/360_211_140cd750bba9870f18aada2478b24840a/o25z4bp7fr84gx6udy4tsg6f0putdtay.jpg</x:v>
      </x:c>
      <x:c r="G49" s="17" t="str">
        <x:v>JPEG</x:v>
      </x:c>
      <x:c r="H49" s="20" t="n">
        <x:v>25594</x:v>
      </x:c>
      <x:c r="I49" s="20" t="n">
        <x:v>360</x:v>
      </x:c>
      <x:c r="J49" s="20" t="n">
        <x:v>211</x:v>
      </x:c>
      <x:c r="K49" s="20" t="n">
        <x:f>C49-H49</x:f>
        <x:v>70230</x:v>
      </x:c>
      <x:c r="L49" s="44" t="n">
        <x:f>K49/C49</x:f>
        <x:v>0.7329061612957088</x:v>
      </x:c>
    </x:row>
    <x:row r="50" ht="88" customHeight="1">
      <x:c r="A50" s="47" t="str">
        <x:v>https://chistoufa.ru/upload/iblock/b17/o25z4bp7fr84gx6udy4tsg6f0putdtay.jpg</x:v>
      </x:c>
      <x:c r="B50" s="3" t="str">
        <x:v>JPEG</x:v>
      </x:c>
      <x:c r="C50" s="21" t="n">
        <x:v>95824</x:v>
      </x:c>
      <x:c r="D50" s="21" t="n">
        <x:v>837</x:v>
      </x:c>
      <x:c r="E50" s="21" t="n">
        <x:v>491</x:v>
      </x:c>
      <x:c r="F50" s="47" t="str">
        <x:v>https://chistoufa.ru/upload/resize_cache/iblock/b17/720_422_140cd750bba9870f18aada2478b24840a/o25z4bp7fr84gx6udy4tsg6f0putdtay.jpg</x:v>
      </x:c>
      <x:c r="G50" s="3" t="str">
        <x:v>JPEG</x:v>
      </x:c>
      <x:c r="H50" s="21" t="n">
        <x:v>76457</x:v>
      </x:c>
      <x:c r="I50" s="21" t="n">
        <x:v>719</x:v>
      </x:c>
      <x:c r="J50" s="21" t="n">
        <x:v>422</x:v>
      </x:c>
      <x:c r="K50" s="21" t="n">
        <x:f>C50-H50</x:f>
        <x:v>19367</x:v>
      </x:c>
      <x:c r="L50" s="43" t="n">
        <x:f>K50/C50</x:f>
        <x:v>0.20211011855067623</x:v>
      </x:c>
    </x:row>
    <x:row r="51" ht="88" customHeight="1">
      <x:c r="A51" s="46" t="str">
        <x:v>https://chistoufa.ru/upload/iblock/b91/lzxopbt5fdtg9mlw97nf13k6ccujosxl.jpg</x:v>
      </x:c>
      <x:c r="B51" s="17" t="str">
        <x:v>JPEG</x:v>
      </x:c>
      <x:c r="C51" s="20" t="n">
        <x:v>201480</x:v>
      </x:c>
      <x:c r="D51" s="20" t="n">
        <x:v>1200</x:v>
      </x:c>
      <x:c r="E51" s="20" t="n">
        <x:v>675</x:v>
      </x:c>
      <x:c r="F51" s="46" t="str">
        <x:v>https://chistoufa.ru/upload/resize_cache/iblock/b91/360_203_140cd750bba9870f18aada2478b24840a/lzxopbt5fdtg9mlw97nf13k6ccujosxl.jpg</x:v>
      </x:c>
      <x:c r="G51" s="17" t="str">
        <x:v>JPEG</x:v>
      </x:c>
      <x:c r="H51" s="20" t="n">
        <x:v>15001</x:v>
      </x:c>
      <x:c r="I51" s="20" t="n">
        <x:v>360</x:v>
      </x:c>
      <x:c r="J51" s="20" t="n">
        <x:v>203</x:v>
      </x:c>
      <x:c r="K51" s="20" t="n">
        <x:f>C51-H51</x:f>
        <x:v>186479</x:v>
      </x:c>
      <x:c r="L51" s="44" t="n">
        <x:f>K51/C51</x:f>
        <x:v>0.9255459598967639</x:v>
      </x:c>
    </x:row>
    <x:row r="52" ht="88" customHeight="1">
      <x:c r="A52" s="47" t="str">
        <x:v>https://chistoufa.ru/upload/iblock/b91/lzxopbt5fdtg9mlw97nf13k6ccujosxl.jpg</x:v>
      </x:c>
      <x:c r="B52" s="3" t="str">
        <x:v>JPEG</x:v>
      </x:c>
      <x:c r="C52" s="21" t="n">
        <x:v>201480</x:v>
      </x:c>
      <x:c r="D52" s="21" t="n">
        <x:v>1200</x:v>
      </x:c>
      <x:c r="E52" s="21" t="n">
        <x:v>675</x:v>
      </x:c>
      <x:c r="F52" s="47" t="str">
        <x:v>https://chistoufa.ru/upload/resize_cache/iblock/b91/720_405_140cd750bba9870f18aada2478b24840a/lzxopbt5fdtg9mlw97nf13k6ccujosxl.jpg</x:v>
      </x:c>
      <x:c r="G52" s="3" t="str">
        <x:v>JPEG</x:v>
      </x:c>
      <x:c r="H52" s="21" t="n">
        <x:v>41502</x:v>
      </x:c>
      <x:c r="I52" s="21" t="n">
        <x:v>720</x:v>
      </x:c>
      <x:c r="J52" s="21" t="n">
        <x:v>405</x:v>
      </x:c>
      <x:c r="K52" s="21" t="n">
        <x:f>C52-H52</x:f>
        <x:v>159978</x:v>
      </x:c>
      <x:c r="L52" s="43" t="n">
        <x:f>K52/C52</x:f>
        <x:v>0.7940142942227516</x:v>
      </x:c>
    </x:row>
    <x:row r="53" ht="88" customHeight="1">
      <x:c r="A53" s="46" t="str">
        <x:v>https://chistoufa.ru/upload/iblock/166/fftt9gmcv1robfjxxeueahi4ggp4udpz.jpg</x:v>
      </x:c>
      <x:c r="B53" s="17" t="str">
        <x:v>JPEG</x:v>
      </x:c>
      <x:c r="C53" s="20" t="n">
        <x:v>239732</x:v>
      </x:c>
      <x:c r="D53" s="20" t="n">
        <x:v>1200</x:v>
      </x:c>
      <x:c r="E53" s="20" t="n">
        <x:v>747</x:v>
      </x:c>
      <x:c r="F53" s="46" t="str">
        <x:v>https://chistoufa.ru/upload/resize_cache/iblock/166/360_224_140cd750bba9870f18aada2478b24840a/fftt9gmcv1robfjxxeueahi4ggp4udpz.jpg</x:v>
      </x:c>
      <x:c r="G53" s="17" t="str">
        <x:v>JPEG</x:v>
      </x:c>
      <x:c r="H53" s="20" t="n">
        <x:v>16153</x:v>
      </x:c>
      <x:c r="I53" s="20" t="n">
        <x:v>360</x:v>
      </x:c>
      <x:c r="J53" s="20" t="n">
        <x:v>224</x:v>
      </x:c>
      <x:c r="K53" s="20" t="n">
        <x:f>C53-H53</x:f>
        <x:v>223579</x:v>
      </x:c>
      <x:c r="L53" s="44" t="n">
        <x:f>K53/C53</x:f>
        <x:v>0.9326205929955117</x:v>
      </x:c>
    </x:row>
    <x:row r="54" ht="88" customHeight="1">
      <x:c r="A54" s="47" t="str">
        <x:v>https://chistoufa.ru/upload/iblock/166/fftt9gmcv1robfjxxeueahi4ggp4udpz.jpg</x:v>
      </x:c>
      <x:c r="B54" s="3" t="str">
        <x:v>JPEG</x:v>
      </x:c>
      <x:c r="C54" s="21" t="n">
        <x:v>239732</x:v>
      </x:c>
      <x:c r="D54" s="21" t="n">
        <x:v>1200</x:v>
      </x:c>
      <x:c r="E54" s="21" t="n">
        <x:v>747</x:v>
      </x:c>
      <x:c r="F54" s="47" t="str">
        <x:v>https://chistoufa.ru/upload/resize_cache/iblock/166/720_448_140cd750bba9870f18aada2478b24840a/fftt9gmcv1robfjxxeueahi4ggp4udpz.jpg</x:v>
      </x:c>
      <x:c r="G54" s="3" t="str">
        <x:v>JPEG</x:v>
      </x:c>
      <x:c r="H54" s="21" t="n">
        <x:v>49618</x:v>
      </x:c>
      <x:c r="I54" s="21" t="n">
        <x:v>720</x:v>
      </x:c>
      <x:c r="J54" s="21" t="n">
        <x:v>448</x:v>
      </x:c>
      <x:c r="K54" s="21" t="n">
        <x:f>C54-H54</x:f>
        <x:v>190114</x:v>
      </x:c>
      <x:c r="L54" s="43" t="n">
        <x:f>K54/C54</x:f>
        <x:v>0.7930272137219896</x:v>
      </x:c>
    </x:row>
    <x:row r="55" ht="88" customHeight="1">
      <x:c r="A55" s="46" t="str">
        <x:v>https://chistoufa.ru/upload/iblock/e11/4mu71fu5xja5jxya2z3ss7lnkcga2syb.jpg</x:v>
      </x:c>
      <x:c r="B55" s="17" t="str">
        <x:v>JPEG</x:v>
      </x:c>
      <x:c r="C55" s="20" t="n">
        <x:v>293184</x:v>
      </x:c>
      <x:c r="D55" s="20" t="n">
        <x:v>1200</x:v>
      </x:c>
      <x:c r="E55" s="20" t="n">
        <x:v>801</x:v>
      </x:c>
      <x:c r="F55" s="46" t="str">
        <x:v>https://chistoufa.ru/upload/resize_cache/iblock/e11/360_240_140cd750bba9870f18aada2478b24840a/4mu71fu5xja5jxya2z3ss7lnkcga2syb.jpg</x:v>
      </x:c>
      <x:c r="G55" s="17" t="str">
        <x:v>JPEG</x:v>
      </x:c>
      <x:c r="H55" s="20" t="n">
        <x:v>17289</x:v>
      </x:c>
      <x:c r="I55" s="20" t="n">
        <x:v>360</x:v>
      </x:c>
      <x:c r="J55" s="20" t="n">
        <x:v>240</x:v>
      </x:c>
      <x:c r="K55" s="20" t="n">
        <x:f>C55-H55</x:f>
        <x:v>275895</x:v>
      </x:c>
      <x:c r="L55" s="44" t="n">
        <x:f>K55/C55</x:f>
        <x:v>0.941030206286837</x:v>
      </x:c>
    </x:row>
    <x:row r="56" ht="88" customHeight="1">
      <x:c r="A56" s="47" t="str">
        <x:v>https://chistoufa.ru/upload/iblock/e11/4mu71fu5xja5jxya2z3ss7lnkcga2syb.jpg</x:v>
      </x:c>
      <x:c r="B56" s="3" t="str">
        <x:v>JPEG</x:v>
      </x:c>
      <x:c r="C56" s="21" t="n">
        <x:v>293184</x:v>
      </x:c>
      <x:c r="D56" s="21" t="n">
        <x:v>1200</x:v>
      </x:c>
      <x:c r="E56" s="21" t="n">
        <x:v>801</x:v>
      </x:c>
      <x:c r="F56" s="47" t="str">
        <x:v>https://chistoufa.ru/upload/resize_cache/iblock/e11/720_481_140cd750bba9870f18aada2478b24840a/4mu71fu5xja5jxya2z3ss7lnkcga2syb.jpg</x:v>
      </x:c>
      <x:c r="G56" s="3" t="str">
        <x:v>JPEG</x:v>
      </x:c>
      <x:c r="H56" s="21" t="n">
        <x:v>54497</x:v>
      </x:c>
      <x:c r="I56" s="21" t="n">
        <x:v>720</x:v>
      </x:c>
      <x:c r="J56" s="21" t="n">
        <x:v>481</x:v>
      </x:c>
      <x:c r="K56" s="21" t="n">
        <x:f>C56-H56</x:f>
        <x:v>238687</x:v>
      </x:c>
      <x:c r="L56" s="43" t="n">
        <x:f>K56/C56</x:f>
        <x:v>0.8141201429818817</x:v>
      </x:c>
    </x:row>
    <x:row r="57" ht="88" customHeight="1">
      <x:c r="A57" s="46" t="str">
        <x:v>https://chistoufa.ru/upload/iblock/f6e/iqtk4g9h8a2gg3ds68fmnjs37328k9j4.jpg</x:v>
      </x:c>
      <x:c r="B57" s="17" t="str">
        <x:v>JPEG</x:v>
      </x:c>
      <x:c r="C57" s="20" t="n">
        <x:v>65598</x:v>
      </x:c>
      <x:c r="D57" s="20" t="n">
        <x:v>837</x:v>
      </x:c>
      <x:c r="E57" s="20" t="n">
        <x:v>491</x:v>
      </x:c>
      <x:c r="F57" s="46" t="str">
        <x:v>https://chistoufa.ru/upload/resize_cache/iblock/f6e/360_211_140cd750bba9870f18aada2478b24840a/iqtk4g9h8a2gg3ds68fmnjs37328k9j4.jpg</x:v>
      </x:c>
      <x:c r="G57" s="17" t="str">
        <x:v>JPEG</x:v>
      </x:c>
      <x:c r="H57" s="20" t="n">
        <x:v>16638</x:v>
      </x:c>
      <x:c r="I57" s="20" t="n">
        <x:v>360</x:v>
      </x:c>
      <x:c r="J57" s="20" t="n">
        <x:v>211</x:v>
      </x:c>
      <x:c r="K57" s="20" t="n">
        <x:f>C57-H57</x:f>
        <x:v>48960</x:v>
      </x:c>
      <x:c r="L57" s="44" t="n">
        <x:f>K57/C57</x:f>
        <x:v>0.7463642184212933</x:v>
      </x:c>
    </x:row>
    <x:row r="58" ht="88" customHeight="1">
      <x:c r="A58" s="47" t="str">
        <x:v>https://chistoufa.ru/upload/iblock/f6e/iqtk4g9h8a2gg3ds68fmnjs37328k9j4.jpg</x:v>
      </x:c>
      <x:c r="B58" s="3" t="str">
        <x:v>JPEG</x:v>
      </x:c>
      <x:c r="C58" s="21" t="n">
        <x:v>65598</x:v>
      </x:c>
      <x:c r="D58" s="21" t="n">
        <x:v>837</x:v>
      </x:c>
      <x:c r="E58" s="21" t="n">
        <x:v>491</x:v>
      </x:c>
      <x:c r="F58" s="47" t="str">
        <x:v>https://chistoufa.ru/upload/resize_cache/iblock/f6e/720_422_140cd750bba9870f18aada2478b24840a/iqtk4g9h8a2gg3ds68fmnjs37328k9j4.jpg</x:v>
      </x:c>
      <x:c r="G58" s="3" t="str">
        <x:v>JPEG</x:v>
      </x:c>
      <x:c r="H58" s="21" t="n">
        <x:v>49855</x:v>
      </x:c>
      <x:c r="I58" s="21" t="n">
        <x:v>719</x:v>
      </x:c>
      <x:c r="J58" s="21" t="n">
        <x:v>422</x:v>
      </x:c>
      <x:c r="K58" s="21" t="n">
        <x:f>C58-H58</x:f>
        <x:v>15743</x:v>
      </x:c>
      <x:c r="L58" s="43" t="n">
        <x:f>K58/C58</x:f>
        <x:v>0.23999207292905272</x:v>
      </x:c>
    </x:row>
    <x:row r="59" ht="88" customHeight="1">
      <x:c r="A59" s="46" t="str">
        <x:v>https://chistoufa.ru/upload/iblock/79c/zsjczlzv6yk9ff9exrexsmaojs9ljmn3.jpg</x:v>
      </x:c>
      <x:c r="B59" s="17" t="str">
        <x:v>JPEG</x:v>
      </x:c>
      <x:c r="C59" s="20" t="n">
        <x:v>185374</x:v>
      </x:c>
      <x:c r="D59" s="20" t="n">
        <x:v>1200</x:v>
      </x:c>
      <x:c r="E59" s="20" t="n">
        <x:v>675</x:v>
      </x:c>
      <x:c r="F59" s="46" t="str">
        <x:v>https://chistoufa.ru/upload/resize_cache/iblock/79c/360_203_140cd750bba9870f18aada2478b24840a/zsjczlzv6yk9ff9exrexsmaojs9ljmn3.jpg</x:v>
      </x:c>
      <x:c r="G59" s="17" t="str">
        <x:v>JPEG</x:v>
      </x:c>
      <x:c r="H59" s="20" t="n">
        <x:v>12529</x:v>
      </x:c>
      <x:c r="I59" s="20" t="n">
        <x:v>360</x:v>
      </x:c>
      <x:c r="J59" s="20" t="n">
        <x:v>203</x:v>
      </x:c>
      <x:c r="K59" s="20" t="n">
        <x:f>C59-H59</x:f>
        <x:v>172845</x:v>
      </x:c>
      <x:c r="L59" s="44" t="n">
        <x:f>K59/C59</x:f>
        <x:v>0.9324123124062705</x:v>
      </x:c>
    </x:row>
    <x:row r="60" ht="88" customHeight="1">
      <x:c r="A60" s="47" t="str">
        <x:v>https://chistoufa.ru/upload/iblock/79c/zsjczlzv6yk9ff9exrexsmaojs9ljmn3.jpg</x:v>
      </x:c>
      <x:c r="B60" s="3" t="str">
        <x:v>JPEG</x:v>
      </x:c>
      <x:c r="C60" s="21" t="n">
        <x:v>185374</x:v>
      </x:c>
      <x:c r="D60" s="21" t="n">
        <x:v>1200</x:v>
      </x:c>
      <x:c r="E60" s="21" t="n">
        <x:v>675</x:v>
      </x:c>
      <x:c r="F60" s="47" t="str">
        <x:v>https://chistoufa.ru/upload/resize_cache/iblock/79c/720_405_140cd750bba9870f18aada2478b24840a/zsjczlzv6yk9ff9exrexsmaojs9ljmn3.jpg</x:v>
      </x:c>
      <x:c r="G60" s="3" t="str">
        <x:v>JPEG</x:v>
      </x:c>
      <x:c r="H60" s="21" t="n">
        <x:v>34800</x:v>
      </x:c>
      <x:c r="I60" s="21" t="n">
        <x:v>720</x:v>
      </x:c>
      <x:c r="J60" s="21" t="n">
        <x:v>405</x:v>
      </x:c>
      <x:c r="K60" s="21" t="n">
        <x:f>C60-H60</x:f>
        <x:v>150574</x:v>
      </x:c>
      <x:c r="L60" s="43" t="n">
        <x:f>K60/C60</x:f>
        <x:v>0.8122714080723294</x:v>
      </x:c>
    </x:row>
    <x:row r="61" ht="88" customHeight="1">
      <x:c r="A61" s="46" t="str">
        <x:v>https://chistoufa.ru/upload/iblock/049/47krgl3xk8bz9d6qjzzt4f06r89gyxhe.jpg</x:v>
      </x:c>
      <x:c r="B61" s="17" t="str">
        <x:v>JPEG</x:v>
      </x:c>
      <x:c r="C61" s="20" t="n">
        <x:v>191398</x:v>
      </x:c>
      <x:c r="D61" s="20" t="n">
        <x:v>1930</x:v>
      </x:c>
      <x:c r="E61" s="20" t="n">
        <x:v>1308</x:v>
      </x:c>
      <x:c r="F61" s="46" t="str">
        <x:v>https://chistoufa.ru/upload/resize_cache/iblock/049/360_244_140cd750bba9870f18aada2478b24840a/47krgl3xk8bz9d6qjzzt4f06r89gyxhe.jpg</x:v>
      </x:c>
      <x:c r="G61" s="17" t="str">
        <x:v>JPEG</x:v>
      </x:c>
      <x:c r="H61" s="20" t="n">
        <x:v>18372</x:v>
      </x:c>
      <x:c r="I61" s="20" t="n">
        <x:v>360</x:v>
      </x:c>
      <x:c r="J61" s="20" t="n">
        <x:v>244</x:v>
      </x:c>
      <x:c r="K61" s="20" t="n">
        <x:f>C61-H61</x:f>
        <x:v>173026</x:v>
      </x:c>
      <x:c r="L61" s="44" t="n">
        <x:f>K61/C61</x:f>
        <x:v>0.9040115361707018</x:v>
      </x:c>
    </x:row>
    <x:row r="62" ht="88" customHeight="1">
      <x:c r="A62" s="47" t="str">
        <x:v>https://chistoufa.ru/upload/iblock/049/47krgl3xk8bz9d6qjzzt4f06r89gyxhe.jpg</x:v>
      </x:c>
      <x:c r="B62" s="3" t="str">
        <x:v>JPEG</x:v>
      </x:c>
      <x:c r="C62" s="21" t="n">
        <x:v>191398</x:v>
      </x:c>
      <x:c r="D62" s="21" t="n">
        <x:v>1930</x:v>
      </x:c>
      <x:c r="E62" s="21" t="n">
        <x:v>1308</x:v>
      </x:c>
      <x:c r="F62" s="47" t="str">
        <x:v>https://chistoufa.ru/upload/resize_cache/iblock/049/720_488_140cd750bba9870f18aada2478b24840a/47krgl3xk8bz9d6qjzzt4f06r89gyxhe.jpg</x:v>
      </x:c>
      <x:c r="G62" s="3" t="str">
        <x:v>JPEG</x:v>
      </x:c>
      <x:c r="H62" s="21" t="n">
        <x:v>61314</x:v>
      </x:c>
      <x:c r="I62" s="21" t="n">
        <x:v>720</x:v>
      </x:c>
      <x:c r="J62" s="21" t="n">
        <x:v>488</x:v>
      </x:c>
      <x:c r="K62" s="21" t="n">
        <x:f>C62-H62</x:f>
        <x:v>130084</x:v>
      </x:c>
      <x:c r="L62" s="43" t="n">
        <x:f>K62/C62</x:f>
        <x:v>0.6796518249929466</x:v>
      </x:c>
    </x:row>
    <x:row r="63" ht="88" customHeight="1">
      <x:c r="A63" s="46" t="str">
        <x:v>https://chistoufa.ru/upload/iblock/049/47krgl3xk8bz9d6qjzzt4f06r89gyxhe.jpg</x:v>
      </x:c>
      <x:c r="B63" s="17" t="str">
        <x:v>JPEG</x:v>
      </x:c>
      <x:c r="C63" s="20" t="n">
        <x:v>191398</x:v>
      </x:c>
      <x:c r="D63" s="20" t="n">
        <x:v>1930</x:v>
      </x:c>
      <x:c r="E63" s="20" t="n">
        <x:v>1308</x:v>
      </x:c>
      <x:c r="F63" s="46" t="str">
        <x:v>https://chistoufa.ru/upload/resize_cache/iblock/049/1200_813_140cd750bba9870f18aada2478b24840a/47krgl3xk8bz9d6qjzzt4f06r89gyxhe.jpg</x:v>
      </x:c>
      <x:c r="G63" s="17" t="str">
        <x:v>JPEG</x:v>
      </x:c>
      <x:c r="H63" s="20" t="n">
        <x:v>144773</x:v>
      </x:c>
      <x:c r="I63" s="20" t="n">
        <x:v>1200</x:v>
      </x:c>
      <x:c r="J63" s="20" t="n">
        <x:v>813</x:v>
      </x:c>
      <x:c r="K63" s="20" t="n">
        <x:f>C63-H63</x:f>
        <x:v>46625</x:v>
      </x:c>
      <x:c r="L63" s="44" t="n">
        <x:f>K63/C63</x:f>
        <x:v>0.24360233649254434</x:v>
      </x:c>
    </x:row>
    <x:row r="64" ht="88" customHeight="1">
      <x:c r="A64" s="47" t="str">
        <x:v>https://chistoufa.ru/upload/iblock/d36/yzsaa24k6g2h0t4djbgrm61a5vnyv69p.jpg</x:v>
      </x:c>
      <x:c r="B64" s="3" t="str">
        <x:v>JPEG</x:v>
      </x:c>
      <x:c r="C64" s="21" t="n">
        <x:v>247108</x:v>
      </x:c>
      <x:c r="D64" s="21" t="n">
        <x:v>1920</x:v>
      </x:c>
      <x:c r="E64" s="21" t="n">
        <x:v>1080</x:v>
      </x:c>
      <x:c r="F64" s="47" t="str">
        <x:v>https://chistoufa.ru/upload/resize_cache/iblock/d36/360_203_140cd750bba9870f18aada2478b24840a/yzsaa24k6g2h0t4djbgrm61a5vnyv69p.jpg</x:v>
      </x:c>
      <x:c r="G64" s="3" t="str">
        <x:v>JPEG</x:v>
      </x:c>
      <x:c r="H64" s="21" t="n">
        <x:v>15287</x:v>
      </x:c>
      <x:c r="I64" s="21" t="n">
        <x:v>360</x:v>
      </x:c>
      <x:c r="J64" s="21" t="n">
        <x:v>203</x:v>
      </x:c>
      <x:c r="K64" s="21" t="n">
        <x:f>C64-H64</x:f>
        <x:v>231821</x:v>
      </x:c>
      <x:c r="L64" s="43" t="n">
        <x:f>K64/C64</x:f>
        <x:v>0.9381363614290108</x:v>
      </x:c>
    </x:row>
    <x:row r="65" ht="88" customHeight="1">
      <x:c r="A65" s="46" t="str">
        <x:v>https://chistoufa.ru/upload/iblock/d36/yzsaa24k6g2h0t4djbgrm61a5vnyv69p.jpg</x:v>
      </x:c>
      <x:c r="B65" s="17" t="str">
        <x:v>JPEG</x:v>
      </x:c>
      <x:c r="C65" s="20" t="n">
        <x:v>247108</x:v>
      </x:c>
      <x:c r="D65" s="20" t="n">
        <x:v>1920</x:v>
      </x:c>
      <x:c r="E65" s="20" t="n">
        <x:v>1080</x:v>
      </x:c>
      <x:c r="F65" s="46" t="str">
        <x:v>https://chistoufa.ru/upload/resize_cache/iblock/d36/720_405_140cd750bba9870f18aada2478b24840a/yzsaa24k6g2h0t4djbgrm61a5vnyv69p.jpg</x:v>
      </x:c>
      <x:c r="G65" s="17" t="str">
        <x:v>JPEG</x:v>
      </x:c>
      <x:c r="H65" s="20" t="n">
        <x:v>48873</x:v>
      </x:c>
      <x:c r="I65" s="20" t="n">
        <x:v>720</x:v>
      </x:c>
      <x:c r="J65" s="20" t="n">
        <x:v>405</x:v>
      </x:c>
      <x:c r="K65" s="20" t="n">
        <x:f>C65-H65</x:f>
        <x:v>198235</x:v>
      </x:c>
      <x:c r="L65" s="44" t="n">
        <x:f>K65/C65</x:f>
        <x:v>0.802220081907506</x:v>
      </x:c>
    </x:row>
    <x:row r="66" ht="88" customHeight="1">
      <x:c r="A66" s="47" t="str">
        <x:v>https://chistoufa.ru/upload/iblock/d36/yzsaa24k6g2h0t4djbgrm61a5vnyv69p.jpg</x:v>
      </x:c>
      <x:c r="B66" s="3" t="str">
        <x:v>JPEG</x:v>
      </x:c>
      <x:c r="C66" s="21" t="n">
        <x:v>247108</x:v>
      </x:c>
      <x:c r="D66" s="21" t="n">
        <x:v>1920</x:v>
      </x:c>
      <x:c r="E66" s="21" t="n">
        <x:v>1080</x:v>
      </x:c>
      <x:c r="F66" s="47" t="str">
        <x:v>https://chistoufa.ru/upload/resize_cache/iblock/d36/1200_675_140cd750bba9870f18aada2478b24840a/yzsaa24k6g2h0t4djbgrm61a5vnyv69p.jpg</x:v>
      </x:c>
      <x:c r="G66" s="3" t="str">
        <x:v>JPEG</x:v>
      </x:c>
      <x:c r="H66" s="21" t="n">
        <x:v>117620</x:v>
      </x:c>
      <x:c r="I66" s="21" t="n">
        <x:v>1200</x:v>
      </x:c>
      <x:c r="J66" s="21" t="n">
        <x:v>675</x:v>
      </x:c>
      <x:c r="K66" s="21" t="n">
        <x:f>C66-H66</x:f>
        <x:v>129488</x:v>
      </x:c>
      <x:c r="L66" s="43" t="n">
        <x:f>K66/C66</x:f>
        <x:v>0.524013791540541</x:v>
      </x:c>
    </x:row>
    <x:row r="67" ht="88" customHeight="1">
      <x:c r="A67" s="46" t="str">
        <x:v>https://chistoufa.ru/upload/iblock/0ca/ltptt4kdf6bpigfzoqegveep07uflkkx.jpg</x:v>
      </x:c>
      <x:c r="B67" s="17" t="str">
        <x:v>JPEG</x:v>
      </x:c>
      <x:c r="C67" s="20" t="n">
        <x:v>613168</x:v>
      </x:c>
      <x:c r="D67" s="20" t="n">
        <x:v>1396</x:v>
      </x:c>
      <x:c r="E67" s="20" t="n">
        <x:v>1020</x:v>
      </x:c>
      <x:c r="F67" s="46" t="str">
        <x:v>https://chistoufa.ru/upload/resize_cache/iblock/0ca/360_263_140cd750bba9870f18aada2478b24840a/ltptt4kdf6bpigfzoqegveep07uflkkx.jpg</x:v>
      </x:c>
      <x:c r="G67" s="17" t="str">
        <x:v>JPEG</x:v>
      </x:c>
      <x:c r="H67" s="20" t="n">
        <x:v>15529</x:v>
      </x:c>
      <x:c r="I67" s="20" t="n">
        <x:v>360</x:v>
      </x:c>
      <x:c r="J67" s="20" t="n">
        <x:v>263</x:v>
      </x:c>
      <x:c r="K67" s="20" t="n">
        <x:f>C67-H67</x:f>
        <x:v>597639</x:v>
      </x:c>
      <x:c r="L67" s="44" t="n">
        <x:f>K67/C67</x:f>
        <x:v>0.9746741512929572</x:v>
      </x:c>
    </x:row>
    <x:row r="68" ht="88" customHeight="1">
      <x:c r="A68" s="47" t="str">
        <x:v>https://chistoufa.ru/upload/iblock/0ca/ltptt4kdf6bpigfzoqegveep07uflkkx.jpg</x:v>
      </x:c>
      <x:c r="B68" s="3" t="str">
        <x:v>JPEG</x:v>
      </x:c>
      <x:c r="C68" s="21" t="n">
        <x:v>613168</x:v>
      </x:c>
      <x:c r="D68" s="21" t="n">
        <x:v>1396</x:v>
      </x:c>
      <x:c r="E68" s="21" t="n">
        <x:v>1020</x:v>
      </x:c>
      <x:c r="F68" s="47" t="str">
        <x:v>https://chistoufa.ru/upload/resize_cache/iblock/0ca/720_526_140cd750bba9870f18aada2478b24840a/ltptt4kdf6bpigfzoqegveep07uflkkx.jpg</x:v>
      </x:c>
      <x:c r="G68" s="3" t="str">
        <x:v>JPEG</x:v>
      </x:c>
      <x:c r="H68" s="21" t="n">
        <x:v>44719</x:v>
      </x:c>
      <x:c r="I68" s="21" t="n">
        <x:v>720</x:v>
      </x:c>
      <x:c r="J68" s="21" t="n">
        <x:v>526</x:v>
      </x:c>
      <x:c r="K68" s="21" t="n">
        <x:f>C68-H68</x:f>
        <x:v>568449</x:v>
      </x:c>
      <x:c r="L68" s="43" t="n">
        <x:f>K68/C68</x:f>
        <x:v>0.9270689272760483</x:v>
      </x:c>
    </x:row>
    <x:row r="69" ht="88" customHeight="1">
      <x:c r="A69" s="46" t="str">
        <x:v>https://chistoufa.ru/upload/iblock/0ca/ltptt4kdf6bpigfzoqegveep07uflkkx.jpg</x:v>
      </x:c>
      <x:c r="B69" s="17" t="str">
        <x:v>JPEG</x:v>
      </x:c>
      <x:c r="C69" s="20" t="n">
        <x:v>613168</x:v>
      </x:c>
      <x:c r="D69" s="20" t="n">
        <x:v>1396</x:v>
      </x:c>
      <x:c r="E69" s="20" t="n">
        <x:v>1020</x:v>
      </x:c>
      <x:c r="F69" s="46" t="str">
        <x:v>https://chistoufa.ru/upload/resize_cache/iblock/0ca/1200_877_140cd750bba9870f18aada2478b24840a/ltptt4kdf6bpigfzoqegveep07uflkkx.jpg</x:v>
      </x:c>
      <x:c r="G69" s="17" t="str">
        <x:v>JPEG</x:v>
      </x:c>
      <x:c r="H69" s="20" t="n">
        <x:v>97196</x:v>
      </x:c>
      <x:c r="I69" s="20" t="n">
        <x:v>1200</x:v>
      </x:c>
      <x:c r="J69" s="20" t="n">
        <x:v>877</x:v>
      </x:c>
      <x:c r="K69" s="20" t="n">
        <x:f>C69-H69</x:f>
        <x:v>515972</x:v>
      </x:c>
      <x:c r="L69" s="44" t="n">
        <x:f>K69/C69</x:f>
        <x:v>0.8414855308822379</x:v>
      </x:c>
    </x:row>
    <x:row r="70" ht="88" customHeight="1">
      <x:c r="A70" s="47" t="str">
        <x:v>https://chistoufa.ru/upload/iblock/ccc/2llbsnvhq88znmxomy8qfkfj6atfw3pf.jpg</x:v>
      </x:c>
      <x:c r="B70" s="3" t="str">
        <x:v>JPEG</x:v>
      </x:c>
      <x:c r="C70" s="21" t="n">
        <x:v>891185</x:v>
      </x:c>
      <x:c r="D70" s="21" t="n">
        <x:v>1396</x:v>
      </x:c>
      <x:c r="E70" s="21" t="n">
        <x:v>1020</x:v>
      </x:c>
      <x:c r="F70" s="47" t="str">
        <x:v>https://chistoufa.ru/upload/resize_cache/iblock/ccc/360_263_140cd750bba9870f18aada2478b24840a/2llbsnvhq88znmxomy8qfkfj6atfw3pf.jpg</x:v>
      </x:c>
      <x:c r="G70" s="3" t="str">
        <x:v>JPEG</x:v>
      </x:c>
      <x:c r="H70" s="21" t="n">
        <x:v>30589</x:v>
      </x:c>
      <x:c r="I70" s="21" t="n">
        <x:v>360</x:v>
      </x:c>
      <x:c r="J70" s="21" t="n">
        <x:v>263</x:v>
      </x:c>
      <x:c r="K70" s="21" t="n">
        <x:f>C70-H70</x:f>
        <x:v>860596</x:v>
      </x:c>
      <x:c r="L70" s="43" t="n">
        <x:f>K70/C70</x:f>
        <x:v>0.9656760380841239</x:v>
      </x:c>
    </x:row>
    <x:row r="71" ht="88" customHeight="1">
      <x:c r="A71" s="46" t="str">
        <x:v>https://chistoufa.ru/upload/iblock/ccc/2llbsnvhq88znmxomy8qfkfj6atfw3pf.jpg</x:v>
      </x:c>
      <x:c r="B71" s="17" t="str">
        <x:v>JPEG</x:v>
      </x:c>
      <x:c r="C71" s="20" t="n">
        <x:v>891185</x:v>
      </x:c>
      <x:c r="D71" s="20" t="n">
        <x:v>1396</x:v>
      </x:c>
      <x:c r="E71" s="20" t="n">
        <x:v>1020</x:v>
      </x:c>
      <x:c r="F71" s="46" t="str">
        <x:v>https://chistoufa.ru/upload/resize_cache/iblock/ccc/720_526_140cd750bba9870f18aada2478b24840a/2llbsnvhq88znmxomy8qfkfj6atfw3pf.jpg</x:v>
      </x:c>
      <x:c r="G71" s="17" t="str">
        <x:v>JPEG</x:v>
      </x:c>
      <x:c r="H71" s="20" t="n">
        <x:v>92671</x:v>
      </x:c>
      <x:c r="I71" s="20" t="n">
        <x:v>720</x:v>
      </x:c>
      <x:c r="J71" s="20" t="n">
        <x:v>526</x:v>
      </x:c>
      <x:c r="K71" s="20" t="n">
        <x:f>C71-H71</x:f>
        <x:v>798514</x:v>
      </x:c>
      <x:c r="L71" s="44" t="n">
        <x:f>K71/C71</x:f>
        <x:v>0.8960137345220128</x:v>
      </x:c>
    </x:row>
    <x:row r="72" ht="88" customHeight="1">
      <x:c r="A72" s="47" t="str">
        <x:v>https://chistoufa.ru/upload/iblock/ccc/2llbsnvhq88znmxomy8qfkfj6atfw3pf.jpg</x:v>
      </x:c>
      <x:c r="B72" s="3" t="str">
        <x:v>JPEG</x:v>
      </x:c>
      <x:c r="C72" s="21" t="n">
        <x:v>891185</x:v>
      </x:c>
      <x:c r="D72" s="21" t="n">
        <x:v>1396</x:v>
      </x:c>
      <x:c r="E72" s="21" t="n">
        <x:v>1020</x:v>
      </x:c>
      <x:c r="F72" s="47" t="str">
        <x:v>https://chistoufa.ru/upload/resize_cache/iblock/ccc/1200_877_140cd750bba9870f18aada2478b24840a/2llbsnvhq88znmxomy8qfkfj6atfw3pf.jpg</x:v>
      </x:c>
      <x:c r="G72" s="3" t="str">
        <x:v>JPEG</x:v>
      </x:c>
      <x:c r="H72" s="21" t="n">
        <x:v>197112</x:v>
      </x:c>
      <x:c r="I72" s="21" t="n">
        <x:v>1200</x:v>
      </x:c>
      <x:c r="J72" s="21" t="n">
        <x:v>877</x:v>
      </x:c>
      <x:c r="K72" s="21" t="n">
        <x:f>C72-H72</x:f>
        <x:v>694073</x:v>
      </x:c>
      <x:c r="L72" s="43" t="n">
        <x:f>K72/C72</x:f>
        <x:v>0.7788203347228689</x:v>
      </x:c>
    </x:row>
    <x:row r="73" ht="88" customHeight="1">
      <x:c r="A73" s="46" t="str">
        <x:v>https://chistoufa.ru/upload/iblock/c95/92xs9flm1icqipahutm3vw9e9zh4p20l.jpg</x:v>
      </x:c>
      <x:c r="B73" s="17" t="str">
        <x:v>JPEG</x:v>
      </x:c>
      <x:c r="C73" s="20" t="n">
        <x:v>810025</x:v>
      </x:c>
      <x:c r="D73" s="20" t="n">
        <x:v>1396</x:v>
      </x:c>
      <x:c r="E73" s="20" t="n">
        <x:v>1020</x:v>
      </x:c>
      <x:c r="F73" s="46" t="str">
        <x:v>https://chistoufa.ru/upload/resize_cache/iblock/c95/360_263_140cd750bba9870f18aada2478b24840a/92xs9flm1icqipahutm3vw9e9zh4p20l.jpg</x:v>
      </x:c>
      <x:c r="G73" s="17" t="str">
        <x:v>JPEG</x:v>
      </x:c>
      <x:c r="H73" s="20" t="n">
        <x:v>20729</x:v>
      </x:c>
      <x:c r="I73" s="20" t="n">
        <x:v>360</x:v>
      </x:c>
      <x:c r="J73" s="20" t="n">
        <x:v>263</x:v>
      </x:c>
      <x:c r="K73" s="20" t="n">
        <x:f>C73-H73</x:f>
        <x:v>789296</x:v>
      </x:c>
      <x:c r="L73" s="44" t="n">
        <x:f>K73/C73</x:f>
        <x:v>0.9744094318076603</x:v>
      </x:c>
    </x:row>
    <x:row r="74" ht="88" customHeight="1">
      <x:c r="A74" s="47" t="str">
        <x:v>https://chistoufa.ru/upload/iblock/c95/92xs9flm1icqipahutm3vw9e9zh4p20l.jpg</x:v>
      </x:c>
      <x:c r="B74" s="3" t="str">
        <x:v>JPEG</x:v>
      </x:c>
      <x:c r="C74" s="21" t="n">
        <x:v>810025</x:v>
      </x:c>
      <x:c r="D74" s="21" t="n">
        <x:v>1396</x:v>
      </x:c>
      <x:c r="E74" s="21" t="n">
        <x:v>1020</x:v>
      </x:c>
      <x:c r="F74" s="47" t="str">
        <x:v>https://chistoufa.ru/upload/resize_cache/iblock/c95/720_526_140cd750bba9870f18aada2478b24840a/92xs9flm1icqipahutm3vw9e9zh4p20l.jpg</x:v>
      </x:c>
      <x:c r="G74" s="3" t="str">
        <x:v>JPEG</x:v>
      </x:c>
      <x:c r="H74" s="21" t="n">
        <x:v>63748</x:v>
      </x:c>
      <x:c r="I74" s="21" t="n">
        <x:v>720</x:v>
      </x:c>
      <x:c r="J74" s="21" t="n">
        <x:v>526</x:v>
      </x:c>
      <x:c r="K74" s="21" t="n">
        <x:f>C74-H74</x:f>
        <x:v>746277</x:v>
      </x:c>
      <x:c r="L74" s="43" t="n">
        <x:f>K74/C74</x:f>
        <x:v>0.92130119440758</x:v>
      </x:c>
    </x:row>
    <x:row r="75" ht="88" customHeight="1">
      <x:c r="A75" s="46" t="str">
        <x:v>https://chistoufa.ru/upload/iblock/c95/92xs9flm1icqipahutm3vw9e9zh4p20l.jpg</x:v>
      </x:c>
      <x:c r="B75" s="17" t="str">
        <x:v>JPEG</x:v>
      </x:c>
      <x:c r="C75" s="20" t="n">
        <x:v>810025</x:v>
      </x:c>
      <x:c r="D75" s="20" t="n">
        <x:v>1396</x:v>
      </x:c>
      <x:c r="E75" s="20" t="n">
        <x:v>1020</x:v>
      </x:c>
      <x:c r="F75" s="46" t="str">
        <x:v>https://chistoufa.ru/upload/resize_cache/iblock/c95/1200_877_140cd750bba9870f18aada2478b24840a/92xs9flm1icqipahutm3vw9e9zh4p20l.jpg</x:v>
      </x:c>
      <x:c r="G75" s="17" t="str">
        <x:v>JPEG</x:v>
      </x:c>
      <x:c r="H75" s="20" t="n">
        <x:v>154160</x:v>
      </x:c>
      <x:c r="I75" s="20" t="n">
        <x:v>1200</x:v>
      </x:c>
      <x:c r="J75" s="20" t="n">
        <x:v>877</x:v>
      </x:c>
      <x:c r="K75" s="20" t="n">
        <x:f>C75-H75</x:f>
        <x:v>655865</x:v>
      </x:c>
      <x:c r="L75" s="44" t="n">
        <x:f>K75/C75</x:f>
        <x:v>0.8096848862689423</x:v>
      </x:c>
    </x:row>
    <x:row r="76" ht="88" customHeight="1">
      <x:c r="A76" s="47" t="str">
        <x:v>https://chistoufa.ru/upload/iblock/994/qq8tliyqeq9kv4ggfl93uupyqaembtwo.jpg</x:v>
      </x:c>
      <x:c r="B76" s="3" t="str">
        <x:v>JPEG</x:v>
      </x:c>
      <x:c r="C76" s="21" t="n">
        <x:v>175404</x:v>
      </x:c>
      <x:c r="D76" s="21" t="n">
        <x:v>1905</x:v>
      </x:c>
      <x:c r="E76" s="21" t="n">
        <x:v>966</x:v>
      </x:c>
      <x:c r="F76" s="47" t="str">
        <x:v>https://chistoufa.ru/upload/resize_cache/iblock/994/360_183_140cd750bba9870f18aada2478b24840a/qq8tliyqeq9kv4ggfl93uupyqaembtwo.jpg</x:v>
      </x:c>
      <x:c r="G76" s="3" t="str">
        <x:v>JPEG</x:v>
      </x:c>
      <x:c r="H76" s="21" t="n">
        <x:v>19286</x:v>
      </x:c>
      <x:c r="I76" s="21" t="n">
        <x:v>360</x:v>
      </x:c>
      <x:c r="J76" s="21" t="n">
        <x:v>183</x:v>
      </x:c>
      <x:c r="K76" s="21" t="n">
        <x:f>C76-H76</x:f>
        <x:v>156118</x:v>
      </x:c>
      <x:c r="L76" s="43" t="n">
        <x:f>K76/C76</x:f>
        <x:v>0.8900481174887688</x:v>
      </x:c>
    </x:row>
    <x:row r="77" ht="88" customHeight="1">
      <x:c r="A77" s="46" t="str">
        <x:v>https://chistoufa.ru/upload/iblock/994/qq8tliyqeq9kv4ggfl93uupyqaembtwo.jpg</x:v>
      </x:c>
      <x:c r="B77" s="17" t="str">
        <x:v>JPEG</x:v>
      </x:c>
      <x:c r="C77" s="20" t="n">
        <x:v>175404</x:v>
      </x:c>
      <x:c r="D77" s="20" t="n">
        <x:v>1905</x:v>
      </x:c>
      <x:c r="E77" s="20" t="n">
        <x:v>966</x:v>
      </x:c>
      <x:c r="F77" s="46" t="str">
        <x:v>https://chistoufa.ru/upload/resize_cache/iblock/994/720_365_140cd750bba9870f18aada2478b24840a/qq8tliyqeq9kv4ggfl93uupyqaembtwo.jpg</x:v>
      </x:c>
      <x:c r="G77" s="17" t="str">
        <x:v>JPEG</x:v>
      </x:c>
      <x:c r="H77" s="20" t="n">
        <x:v>51479</x:v>
      </x:c>
      <x:c r="I77" s="20" t="n">
        <x:v>720</x:v>
      </x:c>
      <x:c r="J77" s="20" t="n">
        <x:v>365</x:v>
      </x:c>
      <x:c r="K77" s="20" t="n">
        <x:f>C77-H77</x:f>
        <x:v>123925</x:v>
      </x:c>
      <x:c r="L77" s="44" t="n">
        <x:f>K77/C77</x:f>
        <x:v>0.7065118241317188</x:v>
      </x:c>
    </x:row>
    <x:row r="78" ht="88" customHeight="1">
      <x:c r="A78" s="47" t="str">
        <x:v>https://chistoufa.ru/upload/iblock/994/qq8tliyqeq9kv4ggfl93uupyqaembtwo.jpg</x:v>
      </x:c>
      <x:c r="B78" s="3" t="str">
        <x:v>JPEG</x:v>
      </x:c>
      <x:c r="C78" s="21" t="n">
        <x:v>175404</x:v>
      </x:c>
      <x:c r="D78" s="21" t="n">
        <x:v>1905</x:v>
      </x:c>
      <x:c r="E78" s="21" t="n">
        <x:v>966</x:v>
      </x:c>
      <x:c r="F78" s="47" t="str">
        <x:v>https://chistoufa.ru/upload/resize_cache/iblock/994/1200_609_140cd750bba9870f18aada2478b24840a/qq8tliyqeq9kv4ggfl93uupyqaembtwo.jpg</x:v>
      </x:c>
      <x:c r="G78" s="3" t="str">
        <x:v>JPEG</x:v>
      </x:c>
      <x:c r="H78" s="21" t="n">
        <x:v>104723</x:v>
      </x:c>
      <x:c r="I78" s="21" t="n">
        <x:v>1200</x:v>
      </x:c>
      <x:c r="J78" s="21" t="n">
        <x:v>609</x:v>
      </x:c>
      <x:c r="K78" s="21" t="n">
        <x:f>C78-H78</x:f>
        <x:v>70681</x:v>
      </x:c>
      <x:c r="L78" s="43" t="n">
        <x:f>K78/C78</x:f>
        <x:v>0.40296116394152925</x:v>
      </x:c>
    </x:row>
    <x:row r="79" ht="88" customHeight="1">
      <x:c r="A79" s="46" t="str">
        <x:v>https://chistoufa.ru/upload/iblock/80a/ehn4npoawck36rusfi7e3048bhg5dum3.jpg</x:v>
      </x:c>
      <x:c r="B79" s="17" t="str">
        <x:v>JPEG</x:v>
      </x:c>
      <x:c r="C79" s="20" t="n">
        <x:v>319947</x:v>
      </x:c>
      <x:c r="D79" s="20" t="n">
        <x:v>1906</x:v>
      </x:c>
      <x:c r="E79" s="20" t="n">
        <x:v>977</x:v>
      </x:c>
      <x:c r="F79" s="46" t="str">
        <x:v>https://chistoufa.ru/upload/resize_cache/iblock/80a/360_185_140cd750bba9870f18aada2478b24840a/ehn4npoawck36rusfi7e3048bhg5dum3.jpg</x:v>
      </x:c>
      <x:c r="G79" s="17" t="str">
        <x:v>JPEG</x:v>
      </x:c>
      <x:c r="H79" s="20" t="n">
        <x:v>24936</x:v>
      </x:c>
      <x:c r="I79" s="20" t="n">
        <x:v>360</x:v>
      </x:c>
      <x:c r="J79" s="20" t="n">
        <x:v>185</x:v>
      </x:c>
      <x:c r="K79" s="20" t="n">
        <x:f>C79-H79</x:f>
        <x:v>295011</x:v>
      </x:c>
      <x:c r="L79" s="44" t="n">
        <x:f>K79/C79</x:f>
        <x:v>0.9220620915339103</x:v>
      </x:c>
    </x:row>
    <x:row r="80" ht="88" customHeight="1">
      <x:c r="A80" s="47" t="str">
        <x:v>https://chistoufa.ru/upload/iblock/80a/ehn4npoawck36rusfi7e3048bhg5dum3.jpg</x:v>
      </x:c>
      <x:c r="B80" s="3" t="str">
        <x:v>JPEG</x:v>
      </x:c>
      <x:c r="C80" s="21" t="n">
        <x:v>319947</x:v>
      </x:c>
      <x:c r="D80" s="21" t="n">
        <x:v>1906</x:v>
      </x:c>
      <x:c r="E80" s="21" t="n">
        <x:v>977</x:v>
      </x:c>
      <x:c r="F80" s="47" t="str">
        <x:v>https://chistoufa.ru/upload/resize_cache/iblock/80a/720_369_140cd750bba9870f18aada2478b24840a/ehn4npoawck36rusfi7e3048bhg5dum3.jpg</x:v>
      </x:c>
      <x:c r="G80" s="3" t="str">
        <x:v>JPEG</x:v>
      </x:c>
      <x:c r="H80" s="21" t="n">
        <x:v>77774</x:v>
      </x:c>
      <x:c r="I80" s="21" t="n">
        <x:v>720</x:v>
      </x:c>
      <x:c r="J80" s="21" t="n">
        <x:v>369</x:v>
      </x:c>
      <x:c r="K80" s="21" t="n">
        <x:f>C80-H80</x:f>
        <x:v>242173</x:v>
      </x:c>
      <x:c r="L80" s="43" t="n">
        <x:f>K80/C80</x:f>
        <x:v>0.756915989210713</x:v>
      </x:c>
    </x:row>
    <x:row r="81" ht="88" customHeight="1">
      <x:c r="A81" s="46" t="str">
        <x:v>https://chistoufa.ru/upload/iblock/80a/ehn4npoawck36rusfi7e3048bhg5dum3.jpg</x:v>
      </x:c>
      <x:c r="B81" s="17" t="str">
        <x:v>JPEG</x:v>
      </x:c>
      <x:c r="C81" s="20" t="n">
        <x:v>319947</x:v>
      </x:c>
      <x:c r="D81" s="20" t="n">
        <x:v>1906</x:v>
      </x:c>
      <x:c r="E81" s="20" t="n">
        <x:v>977</x:v>
      </x:c>
      <x:c r="F81" s="46" t="str">
        <x:v>https://chistoufa.ru/upload/resize_cache/iblock/80a/1200_615_140cd750bba9870f18aada2478b24840a/ehn4npoawck36rusfi7e3048bhg5dum3.jpg</x:v>
      </x:c>
      <x:c r="G81" s="17" t="str">
        <x:v>JPEG</x:v>
      </x:c>
      <x:c r="H81" s="20" t="n">
        <x:v>174603</x:v>
      </x:c>
      <x:c r="I81" s="20" t="n">
        <x:v>1200</x:v>
      </x:c>
      <x:c r="J81" s="20" t="n">
        <x:v>615</x:v>
      </x:c>
      <x:c r="K81" s="20" t="n">
        <x:f>C81-H81</x:f>
        <x:v>145344</x:v>
      </x:c>
      <x:c r="L81" s="44" t="n">
        <x:f>K81/C81</x:f>
        <x:v>0.4542752393365151</x:v>
      </x:c>
    </x:row>
    <x:row r="82" ht="88" customHeight="1">
      <x:c r="A82" s="47" t="str">
        <x:v>https://chistoufa.ru/upload/iblock/043/cm6jqcvb2p0m2x2e4onpgrzd3iwff5lf.jpg</x:v>
      </x:c>
      <x:c r="B82" s="3" t="str">
        <x:v>JPEG</x:v>
      </x:c>
      <x:c r="C82" s="21" t="n">
        <x:v>243591</x:v>
      </x:c>
      <x:c r="D82" s="21" t="n">
        <x:v>1909</x:v>
      </x:c>
      <x:c r="E82" s="21" t="n">
        <x:v>974</x:v>
      </x:c>
      <x:c r="F82" s="47" t="str">
        <x:v>https://chistoufa.ru/upload/resize_cache/iblock/043/360_184_140cd750bba9870f18aada2478b24840a/cm6jqcvb2p0m2x2e4onpgrzd3iwff5lf.jpg</x:v>
      </x:c>
      <x:c r="G82" s="3" t="str">
        <x:v>JPEG</x:v>
      </x:c>
      <x:c r="H82" s="21" t="n">
        <x:v>18468</x:v>
      </x:c>
      <x:c r="I82" s="21" t="n">
        <x:v>360</x:v>
      </x:c>
      <x:c r="J82" s="21" t="n">
        <x:v>184</x:v>
      </x:c>
      <x:c r="K82" s="21" t="n">
        <x:f>C82-H82</x:f>
        <x:v>225123</x:v>
      </x:c>
      <x:c r="L82" s="43" t="n">
        <x:f>K82/C82</x:f>
        <x:v>0.9241843910489304</x:v>
      </x:c>
    </x:row>
    <x:row r="83" ht="88" customHeight="1">
      <x:c r="A83" s="46" t="str">
        <x:v>https://chistoufa.ru/upload/iblock/043/cm6jqcvb2p0m2x2e4onpgrzd3iwff5lf.jpg</x:v>
      </x:c>
      <x:c r="B83" s="17" t="str">
        <x:v>JPEG</x:v>
      </x:c>
      <x:c r="C83" s="20" t="n">
        <x:v>243591</x:v>
      </x:c>
      <x:c r="D83" s="20" t="n">
        <x:v>1909</x:v>
      </x:c>
      <x:c r="E83" s="20" t="n">
        <x:v>974</x:v>
      </x:c>
      <x:c r="F83" s="46" t="str">
        <x:v>https://chistoufa.ru/upload/resize_cache/iblock/043/720_367_140cd750bba9870f18aada2478b24840a/cm6jqcvb2p0m2x2e4onpgrzd3iwff5lf.jpg</x:v>
      </x:c>
      <x:c r="G83" s="17" t="str">
        <x:v>JPEG</x:v>
      </x:c>
      <x:c r="H83" s="20" t="n">
        <x:v>58015</x:v>
      </x:c>
      <x:c r="I83" s="20" t="n">
        <x:v>719</x:v>
      </x:c>
      <x:c r="J83" s="20" t="n">
        <x:v>367</x:v>
      </x:c>
      <x:c r="K83" s="20" t="n">
        <x:f>C83-H83</x:f>
        <x:v>185576</x:v>
      </x:c>
      <x:c r="L83" s="44" t="n">
        <x:f>K83/C83</x:f>
        <x:v>0.7618343863279021</x:v>
      </x:c>
    </x:row>
    <x:row r="84" ht="88" customHeight="1">
      <x:c r="A84" s="47" t="str">
        <x:v>https://chistoufa.ru/upload/iblock/043/cm6jqcvb2p0m2x2e4onpgrzd3iwff5lf.jpg</x:v>
      </x:c>
      <x:c r="B84" s="3" t="str">
        <x:v>JPEG</x:v>
      </x:c>
      <x:c r="C84" s="21" t="n">
        <x:v>243591</x:v>
      </x:c>
      <x:c r="D84" s="21" t="n">
        <x:v>1909</x:v>
      </x:c>
      <x:c r="E84" s="21" t="n">
        <x:v>974</x:v>
      </x:c>
      <x:c r="F84" s="47" t="str">
        <x:v>https://chistoufa.ru/upload/resize_cache/iblock/043/1200_612_140cd750bba9870f18aada2478b24840a/cm6jqcvb2p0m2x2e4onpgrzd3iwff5lf.jpg</x:v>
      </x:c>
      <x:c r="G84" s="3" t="str">
        <x:v>JPEG</x:v>
      </x:c>
      <x:c r="H84" s="21" t="n">
        <x:v>131549</x:v>
      </x:c>
      <x:c r="I84" s="21" t="n">
        <x:v>1199</x:v>
      </x:c>
      <x:c r="J84" s="21" t="n">
        <x:v>612</x:v>
      </x:c>
      <x:c r="K84" s="21" t="n">
        <x:f>C84-H84</x:f>
        <x:v>112042</x:v>
      </x:c>
      <x:c r="L84" s="43" t="n">
        <x:f>K84/C84</x:f>
        <x:v>0.4599595223140428</x:v>
      </x:c>
    </x:row>
    <x:row r="85" ht="88" customHeight="1">
      <x:c r="A85" s="46" t="str">
        <x:v>https://chistoufa.ru/upload/iblock/ec9/p2ue3luz7i6cwx76g0aovzonnmqnayfk.jpg</x:v>
      </x:c>
      <x:c r="B85" s="17" t="str">
        <x:v>JPEG</x:v>
      </x:c>
      <x:c r="C85" s="20" t="n">
        <x:v>204626</x:v>
      </x:c>
      <x:c r="D85" s="20" t="n">
        <x:v>1909</x:v>
      </x:c>
      <x:c r="E85" s="20" t="n">
        <x:v>977</x:v>
      </x:c>
      <x:c r="F85" s="46" t="str">
        <x:v>https://chistoufa.ru/upload/resize_cache/iblock/ec9/360_184_140cd750bba9870f18aada2478b24840a/p2ue3luz7i6cwx76g0aovzonnmqnayfk.jpg</x:v>
      </x:c>
      <x:c r="G85" s="17" t="str">
        <x:v>JPEG</x:v>
      </x:c>
      <x:c r="H85" s="20" t="n">
        <x:v>16474</x:v>
      </x:c>
      <x:c r="I85" s="20" t="n">
        <x:v>360</x:v>
      </x:c>
      <x:c r="J85" s="20" t="n">
        <x:v>184</x:v>
      </x:c>
      <x:c r="K85" s="20" t="n">
        <x:f>C85-H85</x:f>
        <x:v>188152</x:v>
      </x:c>
      <x:c r="L85" s="44" t="n">
        <x:f>K85/C85</x:f>
        <x:v>0.919492146648031</x:v>
      </x:c>
    </x:row>
    <x:row r="86" ht="88" customHeight="1">
      <x:c r="A86" s="47" t="str">
        <x:v>https://chistoufa.ru/upload/iblock/ec9/p2ue3luz7i6cwx76g0aovzonnmqnayfk.jpg</x:v>
      </x:c>
      <x:c r="B86" s="3" t="str">
        <x:v>JPEG</x:v>
      </x:c>
      <x:c r="C86" s="21" t="n">
        <x:v>204626</x:v>
      </x:c>
      <x:c r="D86" s="21" t="n">
        <x:v>1909</x:v>
      </x:c>
      <x:c r="E86" s="21" t="n">
        <x:v>977</x:v>
      </x:c>
      <x:c r="F86" s="47" t="str">
        <x:v>https://chistoufa.ru/upload/resize_cache/iblock/ec9/720_368_140cd750bba9870f18aada2478b24840a/p2ue3luz7i6cwx76g0aovzonnmqnayfk.jpg</x:v>
      </x:c>
      <x:c r="G86" s="3" t="str">
        <x:v>JPEG</x:v>
      </x:c>
      <x:c r="H86" s="21" t="n">
        <x:v>51676</x:v>
      </x:c>
      <x:c r="I86" s="21" t="n">
        <x:v>719</x:v>
      </x:c>
      <x:c r="J86" s="21" t="n">
        <x:v>368</x:v>
      </x:c>
      <x:c r="K86" s="21" t="n">
        <x:f>C86-H86</x:f>
        <x:v>152950</x:v>
      </x:c>
      <x:c r="L86" s="43" t="n">
        <x:f>K86/C86</x:f>
        <x:v>0.7474612219366062</x:v>
      </x:c>
    </x:row>
    <x:row r="87" ht="88" customHeight="1">
      <x:c r="A87" s="46" t="str">
        <x:v>https://chistoufa.ru/upload/iblock/ec9/p2ue3luz7i6cwx76g0aovzonnmqnayfk.jpg</x:v>
      </x:c>
      <x:c r="B87" s="17" t="str">
        <x:v>JPEG</x:v>
      </x:c>
      <x:c r="C87" s="20" t="n">
        <x:v>204626</x:v>
      </x:c>
      <x:c r="D87" s="20" t="n">
        <x:v>1909</x:v>
      </x:c>
      <x:c r="E87" s="20" t="n">
        <x:v>977</x:v>
      </x:c>
      <x:c r="F87" s="46" t="str">
        <x:v>https://chistoufa.ru/upload/resize_cache/iblock/ec9/1200_614_140cd750bba9870f18aada2478b24840a/p2ue3luz7i6cwx76g0aovzonnmqnayfk.jpg</x:v>
      </x:c>
      <x:c r="G87" s="17" t="str">
        <x:v>JPEG</x:v>
      </x:c>
      <x:c r="H87" s="20" t="n">
        <x:v>115240</x:v>
      </x:c>
      <x:c r="I87" s="20" t="n">
        <x:v>1200</x:v>
      </x:c>
      <x:c r="J87" s="20" t="n">
        <x:v>614</x:v>
      </x:c>
      <x:c r="K87" s="20" t="n">
        <x:f>C87-H87</x:f>
        <x:v>89386</x:v>
      </x:c>
      <x:c r="L87" s="44" t="n">
        <x:f>K87/C87</x:f>
        <x:v>0.4368262097680647</x:v>
      </x:c>
    </x:row>
    <x:row r="88" ht="88" customHeight="1">
      <x:c r="A88" s="47" t="str">
        <x:v>https://chistoufa.ru/upload/iblock/7d5/yk7fhks2ifzol8tqdg0xo8r6e7yiy5mn.jpg</x:v>
      </x:c>
      <x:c r="B88" s="3" t="str">
        <x:v>JPEG</x:v>
      </x:c>
      <x:c r="C88" s="21" t="n">
        <x:v>213772</x:v>
      </x:c>
      <x:c r="D88" s="21" t="n">
        <x:v>1920</x:v>
      </x:c>
      <x:c r="E88" s="21" t="n">
        <x:v>1080</x:v>
      </x:c>
      <x:c r="F88" s="47" t="str">
        <x:v>https://chistoufa.ru/upload/resize_cache/iblock/7d5/360_203_140cd750bba9870f18aada2478b24840a/yk7fhks2ifzol8tqdg0xo8r6e7yiy5mn.jpg</x:v>
      </x:c>
      <x:c r="G88" s="3" t="str">
        <x:v>JPEG</x:v>
      </x:c>
      <x:c r="H88" s="21" t="n">
        <x:v>19036</x:v>
      </x:c>
      <x:c r="I88" s="21" t="n">
        <x:v>360</x:v>
      </x:c>
      <x:c r="J88" s="21" t="n">
        <x:v>203</x:v>
      </x:c>
      <x:c r="K88" s="21" t="n">
        <x:f>C88-H88</x:f>
        <x:v>194736</x:v>
      </x:c>
      <x:c r="L88" s="43" t="n">
        <x:f>K88/C88</x:f>
        <x:v>0.910951855247647</x:v>
      </x:c>
    </x:row>
    <x:row r="89" ht="88" customHeight="1">
      <x:c r="A89" s="46" t="str">
        <x:v>https://chistoufa.ru/upload/iblock/7d5/yk7fhks2ifzol8tqdg0xo8r6e7yiy5mn.jpg</x:v>
      </x:c>
      <x:c r="B89" s="17" t="str">
        <x:v>JPEG</x:v>
      </x:c>
      <x:c r="C89" s="20" t="n">
        <x:v>213772</x:v>
      </x:c>
      <x:c r="D89" s="20" t="n">
        <x:v>1920</x:v>
      </x:c>
      <x:c r="E89" s="20" t="n">
        <x:v>1080</x:v>
      </x:c>
      <x:c r="F89" s="46" t="str">
        <x:v>https://chistoufa.ru/upload/resize_cache/iblock/7d5/720_405_140cd750bba9870f18aada2478b24840a/yk7fhks2ifzol8tqdg0xo8r6e7yiy5mn.jpg</x:v>
      </x:c>
      <x:c r="G89" s="17" t="str">
        <x:v>JPEG</x:v>
      </x:c>
      <x:c r="H89" s="20" t="n">
        <x:v>53859</x:v>
      </x:c>
      <x:c r="I89" s="20" t="n">
        <x:v>720</x:v>
      </x:c>
      <x:c r="J89" s="20" t="n">
        <x:v>405</x:v>
      </x:c>
      <x:c r="K89" s="20" t="n">
        <x:f>C89-H89</x:f>
        <x:v>159913</x:v>
      </x:c>
      <x:c r="L89" s="44" t="n">
        <x:f>K89/C89</x:f>
        <x:v>0.7480540014594989</x:v>
      </x:c>
    </x:row>
    <x:row r="90" ht="88" customHeight="1">
      <x:c r="A90" s="47" t="str">
        <x:v>https://chistoufa.ru/upload/iblock/7d5/yk7fhks2ifzol8tqdg0xo8r6e7yiy5mn.jpg</x:v>
      </x:c>
      <x:c r="B90" s="3" t="str">
        <x:v>JPEG</x:v>
      </x:c>
      <x:c r="C90" s="21" t="n">
        <x:v>213772</x:v>
      </x:c>
      <x:c r="D90" s="21" t="n">
        <x:v>1920</x:v>
      </x:c>
      <x:c r="E90" s="21" t="n">
        <x:v>1080</x:v>
      </x:c>
      <x:c r="F90" s="47" t="str">
        <x:v>https://chistoufa.ru/upload/resize_cache/iblock/7d5/1200_675_140cd750bba9870f18aada2478b24840a/yk7fhks2ifzol8tqdg0xo8r6e7yiy5mn.jpg</x:v>
      </x:c>
      <x:c r="G90" s="3" t="str">
        <x:v>JPEG</x:v>
      </x:c>
      <x:c r="H90" s="21" t="n">
        <x:v>113665</x:v>
      </x:c>
      <x:c r="I90" s="21" t="n">
        <x:v>1200</x:v>
      </x:c>
      <x:c r="J90" s="21" t="n">
        <x:v>675</x:v>
      </x:c>
      <x:c r="K90" s="21" t="n">
        <x:f>C90-H90</x:f>
        <x:v>100107</x:v>
      </x:c>
      <x:c r="L90" s="43" t="n">
        <x:f>K90/C90</x:f>
        <x:v>0.4682886439758247</x:v>
      </x:c>
    </x:row>
    <x:row r="91" ht="88" customHeight="1">
      <x:c r="A91" s="46" t="str">
        <x:v>https://chistoufa.ru/upload/iblock/277/44nn900l0pxca1xpk0zxu0nyyo3650fn.jpg</x:v>
      </x:c>
      <x:c r="B91" s="17" t="str">
        <x:v>JPEG</x:v>
      </x:c>
      <x:c r="C91" s="20" t="n">
        <x:v>218790</x:v>
      </x:c>
      <x:c r="D91" s="20" t="n">
        <x:v>1920</x:v>
      </x:c>
      <x:c r="E91" s="20" t="n">
        <x:v>1080</x:v>
      </x:c>
      <x:c r="F91" s="46" t="str">
        <x:v>https://chistoufa.ru/upload/resize_cache/iblock/277/360_203_140cd750bba9870f18aada2478b24840a/44nn900l0pxca1xpk0zxu0nyyo3650fn.jpg</x:v>
      </x:c>
      <x:c r="G91" s="17" t="str">
        <x:v>JPEG</x:v>
      </x:c>
      <x:c r="H91" s="20" t="n">
        <x:v>12462</x:v>
      </x:c>
      <x:c r="I91" s="20" t="n">
        <x:v>360</x:v>
      </x:c>
      <x:c r="J91" s="20" t="n">
        <x:v>203</x:v>
      </x:c>
      <x:c r="K91" s="20" t="n">
        <x:f>C91-H91</x:f>
        <x:v>206328</x:v>
      </x:c>
      <x:c r="L91" s="44" t="n">
        <x:f>K91/C91</x:f>
        <x:v>0.9430412724530371</x:v>
      </x:c>
    </x:row>
    <x:row r="92" ht="88" customHeight="1">
      <x:c r="A92" s="47" t="str">
        <x:v>https://chistoufa.ru/upload/iblock/277/44nn900l0pxca1xpk0zxu0nyyo3650fn.jpg</x:v>
      </x:c>
      <x:c r="B92" s="3" t="str">
        <x:v>JPEG</x:v>
      </x:c>
      <x:c r="C92" s="21" t="n">
        <x:v>218790</x:v>
      </x:c>
      <x:c r="D92" s="21" t="n">
        <x:v>1920</x:v>
      </x:c>
      <x:c r="E92" s="21" t="n">
        <x:v>1080</x:v>
      </x:c>
      <x:c r="F92" s="47" t="str">
        <x:v>https://chistoufa.ru/upload/resize_cache/iblock/277/720_405_140cd750bba9870f18aada2478b24840a/44nn900l0pxca1xpk0zxu0nyyo3650fn.jpg</x:v>
      </x:c>
      <x:c r="G92" s="3" t="str">
        <x:v>JPEG</x:v>
      </x:c>
      <x:c r="H92" s="21" t="n">
        <x:v>39557</x:v>
      </x:c>
      <x:c r="I92" s="21" t="n">
        <x:v>720</x:v>
      </x:c>
      <x:c r="J92" s="21" t="n">
        <x:v>405</x:v>
      </x:c>
      <x:c r="K92" s="21" t="n">
        <x:f>C92-H92</x:f>
        <x:v>179233</x:v>
      </x:c>
      <x:c r="L92" s="43" t="n">
        <x:f>K92/C92</x:f>
        <x:v>0.8192010603775309</x:v>
      </x:c>
    </x:row>
    <x:row r="93" ht="88" customHeight="1">
      <x:c r="A93" s="46" t="str">
        <x:v>https://chistoufa.ru/upload/iblock/277/44nn900l0pxca1xpk0zxu0nyyo3650fn.jpg</x:v>
      </x:c>
      <x:c r="B93" s="17" t="str">
        <x:v>JPEG</x:v>
      </x:c>
      <x:c r="C93" s="20" t="n">
        <x:v>218790</x:v>
      </x:c>
      <x:c r="D93" s="20" t="n">
        <x:v>1920</x:v>
      </x:c>
      <x:c r="E93" s="20" t="n">
        <x:v>1080</x:v>
      </x:c>
      <x:c r="F93" s="46" t="str">
        <x:v>https://chistoufa.ru/upload/resize_cache/iblock/277/1200_675_140cd750bba9870f18aada2478b24840a/44nn900l0pxca1xpk0zxu0nyyo3650fn.jpg</x:v>
      </x:c>
      <x:c r="G93" s="17" t="str">
        <x:v>JPEG</x:v>
      </x:c>
      <x:c r="H93" s="20" t="n">
        <x:v>97912</x:v>
      </x:c>
      <x:c r="I93" s="20" t="n">
        <x:v>1200</x:v>
      </x:c>
      <x:c r="J93" s="20" t="n">
        <x:v>675</x:v>
      </x:c>
      <x:c r="K93" s="20" t="n">
        <x:f>C93-H93</x:f>
        <x:v>120878</x:v>
      </x:c>
      <x:c r="L93" s="44" t="n">
        <x:f>K93/C93</x:f>
        <x:v>0.5524841171899996</x:v>
      </x:c>
    </x:row>
    <x:row r="94" ht="88" customHeight="1">
      <x:c r="A94" s="47" t="str">
        <x:v>https://chistoufa.ru/upload/iblock/1da/as4mbxp2irwrh5tb6pmf9e6m52pmijmw.jpg</x:v>
      </x:c>
      <x:c r="B94" s="3" t="str">
        <x:v>JPEG</x:v>
      </x:c>
      <x:c r="C94" s="21" t="n">
        <x:v>73645</x:v>
      </x:c>
      <x:c r="D94" s="21" t="n">
        <x:v>1412</x:v>
      </x:c>
      <x:c r="E94" s="21" t="n">
        <x:v>764</x:v>
      </x:c>
      <x:c r="F94" s="47" t="str">
        <x:v>https://chistoufa.ru/upload/resize_cache/iblock/1da/360_195_140cd750bba9870f18aada2478b24840a/as4mbxp2irwrh5tb6pmf9e6m52pmijmw.jpg</x:v>
      </x:c>
      <x:c r="G94" s="3" t="str">
        <x:v>JPEG</x:v>
      </x:c>
      <x:c r="H94" s="21" t="n">
        <x:v>11237</x:v>
      </x:c>
      <x:c r="I94" s="21" t="n">
        <x:v>360</x:v>
      </x:c>
      <x:c r="J94" s="21" t="n">
        <x:v>195</x:v>
      </x:c>
      <x:c r="K94" s="21" t="n">
        <x:f>C94-H94</x:f>
        <x:v>62408</x:v>
      </x:c>
      <x:c r="L94" s="43" t="n">
        <x:f>K94/C94</x:f>
        <x:v>0.847416661008894</x:v>
      </x:c>
    </x:row>
    <x:row r="95" ht="88" customHeight="1">
      <x:c r="A95" s="46" t="str">
        <x:v>https://chistoufa.ru/upload/iblock/1da/as4mbxp2irwrh5tb6pmf9e6m52pmijmw.jpg</x:v>
      </x:c>
      <x:c r="B95" s="17" t="str">
        <x:v>JPEG</x:v>
      </x:c>
      <x:c r="C95" s="20" t="n">
        <x:v>73645</x:v>
      </x:c>
      <x:c r="D95" s="20" t="n">
        <x:v>1412</x:v>
      </x:c>
      <x:c r="E95" s="20" t="n">
        <x:v>764</x:v>
      </x:c>
      <x:c r="F95" s="46" t="str">
        <x:v>https://chistoufa.ru/upload/resize_cache/iblock/1da/720_390_140cd750bba9870f18aada2478b24840a/as4mbxp2irwrh5tb6pmf9e6m52pmijmw.jpg</x:v>
      </x:c>
      <x:c r="G95" s="17" t="str">
        <x:v>JPEG</x:v>
      </x:c>
      <x:c r="H95" s="20" t="n">
        <x:v>31077</x:v>
      </x:c>
      <x:c r="I95" s="20" t="n">
        <x:v>720</x:v>
      </x:c>
      <x:c r="J95" s="20" t="n">
        <x:v>390</x:v>
      </x:c>
      <x:c r="K95" s="20" t="n">
        <x:f>C95-H95</x:f>
        <x:v>42568</x:v>
      </x:c>
      <x:c r="L95" s="44" t="n">
        <x:f>K95/C95</x:f>
        <x:v>0.5780161585986828</x:v>
      </x:c>
    </x:row>
    <x:row r="96" ht="88" customHeight="1">
      <x:c r="A96" s="47" t="str">
        <x:v>https://chistoufa.ru/upload/iblock/1da/as4mbxp2irwrh5tb6pmf9e6m52pmijmw.jpg</x:v>
      </x:c>
      <x:c r="B96" s="3" t="str">
        <x:v>JPEG</x:v>
      </x:c>
      <x:c r="C96" s="21" t="n">
        <x:v>73645</x:v>
      </x:c>
      <x:c r="D96" s="21" t="n">
        <x:v>1412</x:v>
      </x:c>
      <x:c r="E96" s="21" t="n">
        <x:v>764</x:v>
      </x:c>
      <x:c r="F96" s="47" t="str">
        <x:v>https://chistoufa.ru/upload/resize_cache/iblock/1da/1200_649_140cd750bba9870f18aada2478b24840a/as4mbxp2irwrh5tb6pmf9e6m52pmijmw.jpg</x:v>
      </x:c>
      <x:c r="G96" s="3" t="str">
        <x:v>JPEG</x:v>
      </x:c>
      <x:c r="H96" s="21" t="n">
        <x:v>63841</x:v>
      </x:c>
      <x:c r="I96" s="21" t="n">
        <x:v>1199</x:v>
      </x:c>
      <x:c r="J96" s="21" t="n">
        <x:v>649</x:v>
      </x:c>
      <x:c r="K96" s="21" t="n">
        <x:f>C96-H96</x:f>
        <x:v>9804</x:v>
      </x:c>
      <x:c r="L96" s="43" t="n">
        <x:f>K96/C96</x:f>
        <x:v>0.13312512729988457</x:v>
      </x:c>
    </x:row>
    <x:row r="97" ht="88" customHeight="1">
      <x:c r="A97" s="46" t="str">
        <x:v>https://chistoufa.ru/upload/iblock/b7b/7mx39577ytlhq8by43hcautdllzt9sb7.jpg</x:v>
      </x:c>
      <x:c r="B97" s="17" t="str">
        <x:v>JPEG</x:v>
      </x:c>
      <x:c r="C97" s="20" t="n">
        <x:v>203609</x:v>
      </x:c>
      <x:c r="D97" s="20" t="n">
        <x:v>1930</x:v>
      </x:c>
      <x:c r="E97" s="20" t="n">
        <x:v>1308</x:v>
      </x:c>
      <x:c r="F97" s="46" t="str">
        <x:v>https://chistoufa.ru/upload/resize_cache/iblock/b7b/360_244_140cd750bba9870f18aada2478b24840a/7mx39577ytlhq8by43hcautdllzt9sb7.jpg</x:v>
      </x:c>
      <x:c r="G97" s="17" t="str">
        <x:v>JPEG</x:v>
      </x:c>
      <x:c r="H97" s="20" t="n">
        <x:v>19850</x:v>
      </x:c>
      <x:c r="I97" s="20" t="n">
        <x:v>360</x:v>
      </x:c>
      <x:c r="J97" s="20" t="n">
        <x:v>244</x:v>
      </x:c>
      <x:c r="K97" s="20" t="n">
        <x:f>C97-H97</x:f>
        <x:v>183759</x:v>
      </x:c>
      <x:c r="L97" s="44" t="n">
        <x:f>K97/C97</x:f>
        <x:v>0.9025092211051574</x:v>
      </x:c>
    </x:row>
    <x:row r="98" ht="88" customHeight="1">
      <x:c r="A98" s="47" t="str">
        <x:v>https://chistoufa.ru/upload/iblock/b7b/7mx39577ytlhq8by43hcautdllzt9sb7.jpg</x:v>
      </x:c>
      <x:c r="B98" s="3" t="str">
        <x:v>JPEG</x:v>
      </x:c>
      <x:c r="C98" s="21" t="n">
        <x:v>203609</x:v>
      </x:c>
      <x:c r="D98" s="21" t="n">
        <x:v>1930</x:v>
      </x:c>
      <x:c r="E98" s="21" t="n">
        <x:v>1308</x:v>
      </x:c>
      <x:c r="F98" s="47" t="str">
        <x:v>https://chistoufa.ru/upload/resize_cache/iblock/b7b/720_488_140cd750bba9870f18aada2478b24840a/7mx39577ytlhq8by43hcautdllzt9sb7.jpg</x:v>
      </x:c>
      <x:c r="G98" s="3" t="str">
        <x:v>JPEG</x:v>
      </x:c>
      <x:c r="H98" s="21" t="n">
        <x:v>59978</x:v>
      </x:c>
      <x:c r="I98" s="21" t="n">
        <x:v>720</x:v>
      </x:c>
      <x:c r="J98" s="21" t="n">
        <x:v>488</x:v>
      </x:c>
      <x:c r="K98" s="21" t="n">
        <x:f>C98-H98</x:f>
        <x:v>143631</x:v>
      </x:c>
      <x:c r="L98" s="43" t="n">
        <x:f>K98/C98</x:f>
        <x:v>0.705425595135775</x:v>
      </x:c>
    </x:row>
    <x:row r="99" ht="88" customHeight="1">
      <x:c r="A99" s="46" t="str">
        <x:v>https://chistoufa.ru/upload/iblock/b7b/7mx39577ytlhq8by43hcautdllzt9sb7.jpg</x:v>
      </x:c>
      <x:c r="B99" s="17" t="str">
        <x:v>JPEG</x:v>
      </x:c>
      <x:c r="C99" s="20" t="n">
        <x:v>203609</x:v>
      </x:c>
      <x:c r="D99" s="20" t="n">
        <x:v>1930</x:v>
      </x:c>
      <x:c r="E99" s="20" t="n">
        <x:v>1308</x:v>
      </x:c>
      <x:c r="F99" s="46" t="str">
        <x:v>https://chistoufa.ru/upload/resize_cache/iblock/b7b/1200_813_140cd750bba9870f18aada2478b24840a/7mx39577ytlhq8by43hcautdllzt9sb7.jpg</x:v>
      </x:c>
      <x:c r="G99" s="17" t="str">
        <x:v>JPEG</x:v>
      </x:c>
      <x:c r="H99" s="20" t="n">
        <x:v>138953</x:v>
      </x:c>
      <x:c r="I99" s="20" t="n">
        <x:v>1200</x:v>
      </x:c>
      <x:c r="J99" s="20" t="n">
        <x:v>813</x:v>
      </x:c>
      <x:c r="K99" s="20" t="n">
        <x:f>C99-H99</x:f>
        <x:v>64656</x:v>
      </x:c>
      <x:c r="L99" s="44" t="n">
        <x:f>K99/C99</x:f>
        <x:v>0.31754981361334716</x:v>
      </x:c>
    </x:row>
    <x:row r="100" ht="88" customHeight="1">
      <x:c r="A100" s="47" t="str">
        <x:v>https://chistoufa.ru/upload/iblock/226/oxnmh7puoh2d0z9j6sobjhyw5emqo9lg.jpg</x:v>
      </x:c>
      <x:c r="B100" s="3" t="str">
        <x:v>JPEG</x:v>
      </x:c>
      <x:c r="C100" s="21" t="n">
        <x:v>212557</x:v>
      </x:c>
      <x:c r="D100" s="21" t="n">
        <x:v>1200</x:v>
      </x:c>
      <x:c r="E100" s="21" t="n">
        <x:v>675</x:v>
      </x:c>
      <x:c r="F100" s="47" t="str">
        <x:v>https://chistoufa.ru/upload/resize_cache/iblock/226/360_203_140cd750bba9870f18aada2478b24840a/oxnmh7puoh2d0z9j6sobjhyw5emqo9lg.jpg</x:v>
      </x:c>
      <x:c r="G100" s="3" t="str">
        <x:v>JPEG</x:v>
      </x:c>
      <x:c r="H100" s="21" t="n">
        <x:v>13673</x:v>
      </x:c>
      <x:c r="I100" s="21" t="n">
        <x:v>360</x:v>
      </x:c>
      <x:c r="J100" s="21" t="n">
        <x:v>203</x:v>
      </x:c>
      <x:c r="K100" s="21" t="n">
        <x:f>C100-H100</x:f>
        <x:v>198884</x:v>
      </x:c>
      <x:c r="L100" s="43" t="n">
        <x:f>K100/C100</x:f>
        <x:v>0.935673725165485</x:v>
      </x:c>
    </x:row>
    <x:row r="101" ht="88" customHeight="1">
      <x:c r="A101" s="46" t="str">
        <x:v>https://chistoufa.ru/upload/iblock/226/oxnmh7puoh2d0z9j6sobjhyw5emqo9lg.jpg</x:v>
      </x:c>
      <x:c r="B101" s="17" t="str">
        <x:v>JPEG</x:v>
      </x:c>
      <x:c r="C101" s="20" t="n">
        <x:v>212557</x:v>
      </x:c>
      <x:c r="D101" s="20" t="n">
        <x:v>1200</x:v>
      </x:c>
      <x:c r="E101" s="20" t="n">
        <x:v>675</x:v>
      </x:c>
      <x:c r="F101" s="46" t="str">
        <x:v>https://chistoufa.ru/upload/resize_cache/iblock/226/720_405_140cd750bba9870f18aada2478b24840a/oxnmh7puoh2d0z9j6sobjhyw5emqo9lg.jpg</x:v>
      </x:c>
      <x:c r="G101" s="17" t="str">
        <x:v>JPEG</x:v>
      </x:c>
      <x:c r="H101" s="20" t="n">
        <x:v>37453</x:v>
      </x:c>
      <x:c r="I101" s="20" t="n">
        <x:v>720</x:v>
      </x:c>
      <x:c r="J101" s="20" t="n">
        <x:v>405</x:v>
      </x:c>
      <x:c r="K101" s="20" t="n">
        <x:f>C101-H101</x:f>
        <x:v>175104</x:v>
      </x:c>
      <x:c r="L101" s="44" t="n">
        <x:f>K101/C101</x:f>
        <x:v>0.8237978518703218</x:v>
      </x:c>
    </x:row>
    <x:row r="102" ht="88" customHeight="1">
      <x:c r="A102" s="47" t="str">
        <x:v>https://chistoufa.ru/upload/iblock/d5f/k8o2gcnahsa86538lvm0i1gjot5f8tzp.jpg</x:v>
      </x:c>
      <x:c r="B102" s="3" t="str">
        <x:v>JPEG</x:v>
      </x:c>
      <x:c r="C102" s="21" t="n">
        <x:v>225407</x:v>
      </x:c>
      <x:c r="D102" s="21" t="n">
        <x:v>1200</x:v>
      </x:c>
      <x:c r="E102" s="21" t="n">
        <x:v>675</x:v>
      </x:c>
      <x:c r="F102" s="47" t="str">
        <x:v>https://chistoufa.ru/upload/resize_cache/iblock/d5f/360_203_140cd750bba9870f18aada2478b24840a/k8o2gcnahsa86538lvm0i1gjot5f8tzp.jpg</x:v>
      </x:c>
      <x:c r="G102" s="3" t="str">
        <x:v>JPEG</x:v>
      </x:c>
      <x:c r="H102" s="21" t="n">
        <x:v>15198</x:v>
      </x:c>
      <x:c r="I102" s="21" t="n">
        <x:v>360</x:v>
      </x:c>
      <x:c r="J102" s="21" t="n">
        <x:v>203</x:v>
      </x:c>
      <x:c r="K102" s="21" t="n">
        <x:f>C102-H102</x:f>
        <x:v>210209</x:v>
      </x:c>
      <x:c r="L102" s="43" t="n">
        <x:f>K102/C102</x:f>
        <x:v>0.932575297129193</x:v>
      </x:c>
    </x:row>
    <x:row r="103" ht="88" customHeight="1">
      <x:c r="A103" s="46" t="str">
        <x:v>https://chistoufa.ru/upload/iblock/d5f/k8o2gcnahsa86538lvm0i1gjot5f8tzp.jpg</x:v>
      </x:c>
      <x:c r="B103" s="17" t="str">
        <x:v>JPEG</x:v>
      </x:c>
      <x:c r="C103" s="20" t="n">
        <x:v>225407</x:v>
      </x:c>
      <x:c r="D103" s="20" t="n">
        <x:v>1200</x:v>
      </x:c>
      <x:c r="E103" s="20" t="n">
        <x:v>675</x:v>
      </x:c>
      <x:c r="F103" s="46" t="str">
        <x:v>https://chistoufa.ru/upload/resize_cache/iblock/d5f/720_405_140cd750bba9870f18aada2478b24840a/k8o2gcnahsa86538lvm0i1gjot5f8tzp.jpg</x:v>
      </x:c>
      <x:c r="G103" s="17" t="str">
        <x:v>JPEG</x:v>
      </x:c>
      <x:c r="H103" s="20" t="n">
        <x:v>43742</x:v>
      </x:c>
      <x:c r="I103" s="20" t="n">
        <x:v>720</x:v>
      </x:c>
      <x:c r="J103" s="20" t="n">
        <x:v>405</x:v>
      </x:c>
      <x:c r="K103" s="20" t="n">
        <x:f>C103-H103</x:f>
        <x:v>181665</x:v>
      </x:c>
      <x:c r="L103" s="44" t="n">
        <x:f>K103/C103</x:f>
        <x:v>0.8059421402174732</x:v>
      </x:c>
    </x:row>
    <x:row r="104" ht="88" customHeight="1">
      <x:c r="A104" s="47" t="str">
        <x:v>https://chistoufa.ru/upload/iblock/a77/9gkpbk6b0jc6vwsfgpu98t3c0yaqmohf.jpg</x:v>
      </x:c>
      <x:c r="B104" s="3" t="str">
        <x:v>JPEG</x:v>
      </x:c>
      <x:c r="C104" s="21" t="n">
        <x:v>200986</x:v>
      </x:c>
      <x:c r="D104" s="21" t="n">
        <x:v>1200</x:v>
      </x:c>
      <x:c r="E104" s="21" t="n">
        <x:v>675</x:v>
      </x:c>
      <x:c r="F104" s="47" t="str">
        <x:v>https://chistoufa.ru/upload/resize_cache/iblock/a77/360_203_140cd750bba9870f18aada2478b24840a/9gkpbk6b0jc6vwsfgpu98t3c0yaqmohf.jpg</x:v>
      </x:c>
      <x:c r="G104" s="3" t="str">
        <x:v>JPEG</x:v>
      </x:c>
      <x:c r="H104" s="21" t="n">
        <x:v>11461</x:v>
      </x:c>
      <x:c r="I104" s="21" t="n">
        <x:v>360</x:v>
      </x:c>
      <x:c r="J104" s="21" t="n">
        <x:v>203</x:v>
      </x:c>
      <x:c r="K104" s="21" t="n">
        <x:f>C104-H104</x:f>
        <x:v>189525</x:v>
      </x:c>
      <x:c r="L104" s="43" t="n">
        <x:f>K104/C104</x:f>
        <x:v>0.9429761276904859</x:v>
      </x:c>
    </x:row>
    <x:row r="105" ht="88" customHeight="1">
      <x:c r="A105" s="46" t="str">
        <x:v>https://chistoufa.ru/upload/iblock/a77/9gkpbk6b0jc6vwsfgpu98t3c0yaqmohf.jpg</x:v>
      </x:c>
      <x:c r="B105" s="17" t="str">
        <x:v>JPEG</x:v>
      </x:c>
      <x:c r="C105" s="20" t="n">
        <x:v>200986</x:v>
      </x:c>
      <x:c r="D105" s="20" t="n">
        <x:v>1200</x:v>
      </x:c>
      <x:c r="E105" s="20" t="n">
        <x:v>675</x:v>
      </x:c>
      <x:c r="F105" s="46" t="str">
        <x:v>https://chistoufa.ru/upload/resize_cache/iblock/a77/720_405_140cd750bba9870f18aada2478b24840a/9gkpbk6b0jc6vwsfgpu98t3c0yaqmohf.jpg</x:v>
      </x:c>
      <x:c r="G105" s="17" t="str">
        <x:v>JPEG</x:v>
      </x:c>
      <x:c r="H105" s="20" t="n">
        <x:v>35010</x:v>
      </x:c>
      <x:c r="I105" s="20" t="n">
        <x:v>720</x:v>
      </x:c>
      <x:c r="J105" s="20" t="n">
        <x:v>405</x:v>
      </x:c>
      <x:c r="K105" s="20" t="n">
        <x:f>C105-H105</x:f>
        <x:v>165976</x:v>
      </x:c>
      <x:c r="L105" s="44" t="n">
        <x:f>K105/C105</x:f>
        <x:v>0.825808762799399</x:v>
      </x:c>
    </x:row>
    <x:row r="106" ht="88" customHeight="1">
      <x:c r="A106" s="47" t="str">
        <x:v>https://chistoufa.ru/upload/iblock/3dc/ofe3a682h36fful9ogrbrdmbnnidksur.jpg</x:v>
      </x:c>
      <x:c r="B106" s="3" t="str">
        <x:v>JPEG</x:v>
      </x:c>
      <x:c r="C106" s="21" t="n">
        <x:v>190098</x:v>
      </x:c>
      <x:c r="D106" s="21" t="n">
        <x:v>1200</x:v>
      </x:c>
      <x:c r="E106" s="21" t="n">
        <x:v>675</x:v>
      </x:c>
      <x:c r="F106" s="47" t="str">
        <x:v>https://chistoufa.ru/upload/resize_cache/iblock/3dc/360_203_140cd750bba9870f18aada2478b24840a/ofe3a682h36fful9ogrbrdmbnnidksur.jpg</x:v>
      </x:c>
      <x:c r="G106" s="3" t="str">
        <x:v>JPEG</x:v>
      </x:c>
      <x:c r="H106" s="21" t="n">
        <x:v>13929</x:v>
      </x:c>
      <x:c r="I106" s="21" t="n">
        <x:v>360</x:v>
      </x:c>
      <x:c r="J106" s="21" t="n">
        <x:v>203</x:v>
      </x:c>
      <x:c r="K106" s="21" t="n">
        <x:f>C106-H106</x:f>
        <x:v>176169</x:v>
      </x:c>
      <x:c r="L106" s="43" t="n">
        <x:f>K106/C106</x:f>
        <x:v>0.9267272669886059</x:v>
      </x:c>
    </x:row>
    <x:row r="107" ht="88" customHeight="1">
      <x:c r="A107" s="46" t="str">
        <x:v>https://chistoufa.ru/upload/iblock/3dc/ofe3a682h36fful9ogrbrdmbnnidksur.jpg</x:v>
      </x:c>
      <x:c r="B107" s="17" t="str">
        <x:v>JPEG</x:v>
      </x:c>
      <x:c r="C107" s="20" t="n">
        <x:v>190098</x:v>
      </x:c>
      <x:c r="D107" s="20" t="n">
        <x:v>1200</x:v>
      </x:c>
      <x:c r="E107" s="20" t="n">
        <x:v>675</x:v>
      </x:c>
      <x:c r="F107" s="46" t="str">
        <x:v>https://chistoufa.ru/upload/resize_cache/iblock/3dc/720_405_140cd750bba9870f18aada2478b24840a/ofe3a682h36fful9ogrbrdmbnnidksur.jpg</x:v>
      </x:c>
      <x:c r="G107" s="17" t="str">
        <x:v>JPEG</x:v>
      </x:c>
      <x:c r="H107" s="20" t="n">
        <x:v>36486</x:v>
      </x:c>
      <x:c r="I107" s="20" t="n">
        <x:v>720</x:v>
      </x:c>
      <x:c r="J107" s="20" t="n">
        <x:v>405</x:v>
      </x:c>
      <x:c r="K107" s="20" t="n">
        <x:f>C107-H107</x:f>
        <x:v>153612</x:v>
      </x:c>
      <x:c r="L107" s="44" t="n">
        <x:f>K107/C107</x:f>
        <x:v>0.8080674178581574</x:v>
      </x:c>
    </x:row>
    <x:row r="108" ht="88" customHeight="1">
      <x:c r="A108" s="47" t="str">
        <x:v>https://chistoufa.ru/upload/iblock/1c7/nze6mewvyrraoo1em57wcy3c4x3w3tyt.jpg</x:v>
      </x:c>
      <x:c r="B108" s="3" t="str">
        <x:v>JPEG</x:v>
      </x:c>
      <x:c r="C108" s="21" t="n">
        <x:v>214074</x:v>
      </x:c>
      <x:c r="D108" s="21" t="n">
        <x:v>1200</x:v>
      </x:c>
      <x:c r="E108" s="21" t="n">
        <x:v>800</x:v>
      </x:c>
      <x:c r="F108" s="47" t="str">
        <x:v>https://chistoufa.ru/upload/resize_cache/iblock/1c7/360_240_140cd750bba9870f18aada2478b24840a/nze6mewvyrraoo1em57wcy3c4x3w3tyt.jpg</x:v>
      </x:c>
      <x:c r="G108" s="3" t="str">
        <x:v>JPEG</x:v>
      </x:c>
      <x:c r="H108" s="21" t="n">
        <x:v>10859</x:v>
      </x:c>
      <x:c r="I108" s="21" t="n">
        <x:v>360</x:v>
      </x:c>
      <x:c r="J108" s="21" t="n">
        <x:v>240</x:v>
      </x:c>
      <x:c r="K108" s="21" t="n">
        <x:f>C108-H108</x:f>
        <x:v>203215</x:v>
      </x:c>
      <x:c r="L108" s="43" t="n">
        <x:f>K108/C108</x:f>
        <x:v>0.9492745499219896</x:v>
      </x:c>
    </x:row>
    <x:row r="109" ht="88" customHeight="1">
      <x:c r="A109" s="46" t="str">
        <x:v>https://chistoufa.ru/upload/iblock/1c7/nze6mewvyrraoo1em57wcy3c4x3w3tyt.jpg</x:v>
      </x:c>
      <x:c r="B109" s="17" t="str">
        <x:v>JPEG</x:v>
      </x:c>
      <x:c r="C109" s="20" t="n">
        <x:v>214074</x:v>
      </x:c>
      <x:c r="D109" s="20" t="n">
        <x:v>1200</x:v>
      </x:c>
      <x:c r="E109" s="20" t="n">
        <x:v>800</x:v>
      </x:c>
      <x:c r="F109" s="46" t="str">
        <x:v>https://chistoufa.ru/upload/resize_cache/iblock/1c7/720_480_140cd750bba9870f18aada2478b24840a/nze6mewvyrraoo1em57wcy3c4x3w3tyt.jpg</x:v>
      </x:c>
      <x:c r="G109" s="17" t="str">
        <x:v>JPEG</x:v>
      </x:c>
      <x:c r="H109" s="20" t="n">
        <x:v>31701</x:v>
      </x:c>
      <x:c r="I109" s="20" t="n">
        <x:v>720</x:v>
      </x:c>
      <x:c r="J109" s="20" t="n">
        <x:v>480</x:v>
      </x:c>
      <x:c r="K109" s="20" t="n">
        <x:f>C109-H109</x:f>
        <x:v>182373</x:v>
      </x:c>
      <x:c r="L109" s="44" t="n">
        <x:f>K109/C109</x:f>
        <x:v>0.8519156927043919</x:v>
      </x:c>
    </x:row>
    <x:row r="110" ht="88" customHeight="1">
      <x:c r="A110" s="47" t="str">
        <x:v>https://chistoufa.ru/upload/iblock/7f5/ol0nfc8erk1602brwr7z21lh4x7je40j.jpeg</x:v>
      </x:c>
      <x:c r="B110" s="3" t="str">
        <x:v>JPEG</x:v>
      </x:c>
      <x:c r="C110" s="21" t="n">
        <x:v>250100</x:v>
      </x:c>
      <x:c r="D110" s="21" t="n">
        <x:v>1200</x:v>
      </x:c>
      <x:c r="E110" s="21" t="n">
        <x:v>710</x:v>
      </x:c>
      <x:c r="F110" s="47" t="str">
        <x:v>https://chistoufa.ru/upload/resize_cache/iblock/7f5/360_213_140cd750bba9870f18aada2478b24840a/ol0nfc8erk1602brwr7z21lh4x7je40j.jpeg</x:v>
      </x:c>
      <x:c r="G110" s="3" t="str">
        <x:v>JPEG</x:v>
      </x:c>
      <x:c r="H110" s="21" t="n">
        <x:v>15229</x:v>
      </x:c>
      <x:c r="I110" s="21" t="n">
        <x:v>360</x:v>
      </x:c>
      <x:c r="J110" s="21" t="n">
        <x:v>213</x:v>
      </x:c>
      <x:c r="K110" s="21" t="n">
        <x:f>C110-H110</x:f>
        <x:v>234871</x:v>
      </x:c>
      <x:c r="L110" s="43" t="n">
        <x:f>K110/C110</x:f>
        <x:v>0.939108356657337</x:v>
      </x:c>
    </x:row>
    <x:row r="111" ht="88" customHeight="1">
      <x:c r="A111" s="46" t="str">
        <x:v>https://chistoufa.ru/upload/iblock/7f5/ol0nfc8erk1602brwr7z21lh4x7je40j.jpeg</x:v>
      </x:c>
      <x:c r="B111" s="17" t="str">
        <x:v>JPEG</x:v>
      </x:c>
      <x:c r="C111" s="20" t="n">
        <x:v>250100</x:v>
      </x:c>
      <x:c r="D111" s="20" t="n">
        <x:v>1200</x:v>
      </x:c>
      <x:c r="E111" s="20" t="n">
        <x:v>710</x:v>
      </x:c>
      <x:c r="F111" s="46" t="str">
        <x:v>https://chistoufa.ru/upload/resize_cache/iblock/7f5/720_426_140cd750bba9870f18aada2478b24840a/ol0nfc8erk1602brwr7z21lh4x7je40j.jpeg</x:v>
      </x:c>
      <x:c r="G111" s="17" t="str">
        <x:v>JPEG</x:v>
      </x:c>
      <x:c r="H111" s="20" t="n">
        <x:v>47544</x:v>
      </x:c>
      <x:c r="I111" s="20" t="n">
        <x:v>720</x:v>
      </x:c>
      <x:c r="J111" s="20" t="n">
        <x:v>426</x:v>
      </x:c>
      <x:c r="K111" s="20" t="n">
        <x:f>C111-H111</x:f>
        <x:v>202556</x:v>
      </x:c>
      <x:c r="L111" s="44" t="n">
        <x:f>K111/C111</x:f>
        <x:v>0.8099000399840064</x:v>
      </x:c>
    </x:row>
    <x:row r="112" ht="88" customHeight="1">
      <x:c r="A112" s="47" t="str">
        <x:v>https://chistoufa.ru/upload/iblock/6e3/kfvhn6u9x97d183asy925jiqw6midv6g.jpg</x:v>
      </x:c>
      <x:c r="B112" s="3" t="str">
        <x:v>JPEG</x:v>
      </x:c>
      <x:c r="C112" s="21" t="n">
        <x:v>402696</x:v>
      </x:c>
      <x:c r="D112" s="21" t="n">
        <x:v>1200</x:v>
      </x:c>
      <x:c r="E112" s="21" t="n">
        <x:v>800</x:v>
      </x:c>
      <x:c r="F112" s="47" t="str">
        <x:v>https://chistoufa.ru/upload/resize_cache/iblock/6e3/360_240_140cd750bba9870f18aada2478b24840a/kfvhn6u9x97d183asy925jiqw6midv6g.jpg</x:v>
      </x:c>
      <x:c r="G112" s="3" t="str">
        <x:v>JPEG</x:v>
      </x:c>
      <x:c r="H112" s="21" t="n">
        <x:v>22138</x:v>
      </x:c>
      <x:c r="I112" s="21" t="n">
        <x:v>360</x:v>
      </x:c>
      <x:c r="J112" s="21" t="n">
        <x:v>240</x:v>
      </x:c>
      <x:c r="K112" s="21" t="n">
        <x:f>C112-H112</x:f>
        <x:v>380558</x:v>
      </x:c>
      <x:c r="L112" s="43" t="n">
        <x:f>K112/C112</x:f>
        <x:v>0.9450255279416732</x:v>
      </x:c>
    </x:row>
    <x:row r="113" ht="88" customHeight="1">
      <x:c r="A113" s="46" t="str">
        <x:v>https://chistoufa.ru/upload/iblock/6e3/kfvhn6u9x97d183asy925jiqw6midv6g.jpg</x:v>
      </x:c>
      <x:c r="B113" s="17" t="str">
        <x:v>JPEG</x:v>
      </x:c>
      <x:c r="C113" s="20" t="n">
        <x:v>402696</x:v>
      </x:c>
      <x:c r="D113" s="20" t="n">
        <x:v>1200</x:v>
      </x:c>
      <x:c r="E113" s="20" t="n">
        <x:v>800</x:v>
      </x:c>
      <x:c r="F113" s="46" t="str">
        <x:v>https://chistoufa.ru/upload/resize_cache/iblock/6e3/720_480_140cd750bba9870f18aada2478b24840a/kfvhn6u9x97d183asy925jiqw6midv6g.jpg</x:v>
      </x:c>
      <x:c r="G113" s="17" t="str">
        <x:v>JPEG</x:v>
      </x:c>
      <x:c r="H113" s="20" t="n">
        <x:v>71460</x:v>
      </x:c>
      <x:c r="I113" s="20" t="n">
        <x:v>720</x:v>
      </x:c>
      <x:c r="J113" s="20" t="n">
        <x:v>480</x:v>
      </x:c>
      <x:c r="K113" s="20" t="n">
        <x:f>C113-H113</x:f>
        <x:v>331236</x:v>
      </x:c>
      <x:c r="L113" s="44" t="n">
        <x:f>K113/C113</x:f>
        <x:v>0.8225460396924728</x:v>
      </x:c>
    </x:row>
    <x:row r="114" ht="88" customHeight="1">
      <x:c r="A114" s="47" t="str">
        <x:v>https://chistoufa.ru/upload/iblock/031/2apqex8w6cb4j2f9e6a3zm95l5b1651x.jpg</x:v>
      </x:c>
      <x:c r="B114" s="3" t="str">
        <x:v>JPEG</x:v>
      </x:c>
      <x:c r="C114" s="21" t="n">
        <x:v>336303</x:v>
      </x:c>
      <x:c r="D114" s="21" t="n">
        <x:v>1200</x:v>
      </x:c>
      <x:c r="E114" s="21" t="n">
        <x:v>800</x:v>
      </x:c>
      <x:c r="F114" s="47" t="str">
        <x:v>https://chistoufa.ru/upload/resize_cache/iblock/031/360_240_140cd750bba9870f18aada2478b24840a/2apqex8w6cb4j2f9e6a3zm95l5b1651x.jpg</x:v>
      </x:c>
      <x:c r="G114" s="3" t="str">
        <x:v>JPEG</x:v>
      </x:c>
      <x:c r="H114" s="21" t="n">
        <x:v>15732</x:v>
      </x:c>
      <x:c r="I114" s="21" t="n">
        <x:v>360</x:v>
      </x:c>
      <x:c r="J114" s="21" t="n">
        <x:v>240</x:v>
      </x:c>
      <x:c r="K114" s="21" t="n">
        <x:f>C114-H114</x:f>
        <x:v>320571</x:v>
      </x:c>
      <x:c r="L114" s="43" t="n">
        <x:f>K114/C114</x:f>
        <x:v>0.9532207562822812</x:v>
      </x:c>
    </x:row>
    <x:row r="115" ht="88" customHeight="1">
      <x:c r="A115" s="46" t="str">
        <x:v>https://chistoufa.ru/upload/iblock/031/2apqex8w6cb4j2f9e6a3zm95l5b1651x.jpg</x:v>
      </x:c>
      <x:c r="B115" s="17" t="str">
        <x:v>JPEG</x:v>
      </x:c>
      <x:c r="C115" s="20" t="n">
        <x:v>336303</x:v>
      </x:c>
      <x:c r="D115" s="20" t="n">
        <x:v>1200</x:v>
      </x:c>
      <x:c r="E115" s="20" t="n">
        <x:v>800</x:v>
      </x:c>
      <x:c r="F115" s="46" t="str">
        <x:v>https://chistoufa.ru/upload/resize_cache/iblock/031/720_480_140cd750bba9870f18aada2478b24840a/2apqex8w6cb4j2f9e6a3zm95l5b1651x.jpg</x:v>
      </x:c>
      <x:c r="G115" s="17" t="str">
        <x:v>JPEG</x:v>
      </x:c>
      <x:c r="H115" s="20" t="n">
        <x:v>52781</x:v>
      </x:c>
      <x:c r="I115" s="20" t="n">
        <x:v>720</x:v>
      </x:c>
      <x:c r="J115" s="20" t="n">
        <x:v>480</x:v>
      </x:c>
      <x:c r="K115" s="20" t="n">
        <x:f>C115-H115</x:f>
        <x:v>283522</x:v>
      </x:c>
      <x:c r="L115" s="44" t="n">
        <x:f>K115/C115</x:f>
        <x:v>0.8430552210357921</x:v>
      </x:c>
    </x:row>
    <x:row r="116" ht="88" customHeight="1">
      <x:c r="A116" s="47" t="str">
        <x:v>https://chistoufa.ru/upload/iblock/565/3z900mp4dqulirkj3vv3pgyx34k4bj8a.jpg</x:v>
      </x:c>
      <x:c r="B116" s="3" t="str">
        <x:v>JPEG</x:v>
      </x:c>
      <x:c r="C116" s="21" t="n">
        <x:v>243904</x:v>
      </x:c>
      <x:c r="D116" s="21" t="n">
        <x:v>1200</x:v>
      </x:c>
      <x:c r="E116" s="21" t="n">
        <x:v>675</x:v>
      </x:c>
      <x:c r="F116" s="47" t="str">
        <x:v>https://chistoufa.ru/upload/resize_cache/iblock/565/360_203_140cd750bba9870f18aada2478b24840a/3z900mp4dqulirkj3vv3pgyx34k4bj8a.jpg</x:v>
      </x:c>
      <x:c r="G116" s="3" t="str">
        <x:v>JPEG</x:v>
      </x:c>
      <x:c r="H116" s="21" t="n">
        <x:v>18419</x:v>
      </x:c>
      <x:c r="I116" s="21" t="n">
        <x:v>360</x:v>
      </x:c>
      <x:c r="J116" s="21" t="n">
        <x:v>203</x:v>
      </x:c>
      <x:c r="K116" s="21" t="n">
        <x:f>C116-H116</x:f>
        <x:v>225485</x:v>
      </x:c>
      <x:c r="L116" s="43" t="n">
        <x:f>K116/C116</x:f>
        <x:v>0.9244825833114668</x:v>
      </x:c>
    </x:row>
    <x:row r="117" ht="88" customHeight="1">
      <x:c r="A117" s="46" t="str">
        <x:v>https://chistoufa.ru/upload/iblock/565/3z900mp4dqulirkj3vv3pgyx34k4bj8a.jpg</x:v>
      </x:c>
      <x:c r="B117" s="17" t="str">
        <x:v>JPEG</x:v>
      </x:c>
      <x:c r="C117" s="20" t="n">
        <x:v>243904</x:v>
      </x:c>
      <x:c r="D117" s="20" t="n">
        <x:v>1200</x:v>
      </x:c>
      <x:c r="E117" s="20" t="n">
        <x:v>675</x:v>
      </x:c>
      <x:c r="F117" s="46" t="str">
        <x:v>https://chistoufa.ru/upload/resize_cache/iblock/565/720_405_140cd750bba9870f18aada2478b24840a/3z900mp4dqulirkj3vv3pgyx34k4bj8a.jpg</x:v>
      </x:c>
      <x:c r="G117" s="17" t="str">
        <x:v>JPEG</x:v>
      </x:c>
      <x:c r="H117" s="20" t="n">
        <x:v>51455</x:v>
      </x:c>
      <x:c r="I117" s="20" t="n">
        <x:v>720</x:v>
      </x:c>
      <x:c r="J117" s="20" t="n">
        <x:v>405</x:v>
      </x:c>
      <x:c r="K117" s="20" t="n">
        <x:f>C117-H117</x:f>
        <x:v>192449</x:v>
      </x:c>
      <x:c r="L117" s="44" t="n">
        <x:f>K117/C117</x:f>
        <x:v>0.7890358501705589</x:v>
      </x:c>
    </x:row>
    <x:row r="118" ht="88" customHeight="1">
      <x:c r="A118" s="47" t="str">
        <x:v>https://chistoufa.ru/upload/iblock/e1f/87e1mku12ir5wm963753rpa8nhtnqi34.jpg</x:v>
      </x:c>
      <x:c r="B118" s="3" t="str">
        <x:v>JPEG</x:v>
      </x:c>
      <x:c r="C118" s="21" t="n">
        <x:v>372741</x:v>
      </x:c>
      <x:c r="D118" s="21" t="n">
        <x:v>1200</x:v>
      </x:c>
      <x:c r="E118" s="21" t="n">
        <x:v>800</x:v>
      </x:c>
      <x:c r="F118" s="47" t="str">
        <x:v>https://chistoufa.ru/upload/resize_cache/iblock/e1f/360_240_140cd750bba9870f18aada2478b24840a/87e1mku12ir5wm963753rpa8nhtnqi34.jpg</x:v>
      </x:c>
      <x:c r="G118" s="3" t="str">
        <x:v>JPEG</x:v>
      </x:c>
      <x:c r="H118" s="21" t="n">
        <x:v>20241</x:v>
      </x:c>
      <x:c r="I118" s="21" t="n">
        <x:v>360</x:v>
      </x:c>
      <x:c r="J118" s="21" t="n">
        <x:v>240</x:v>
      </x:c>
      <x:c r="K118" s="21" t="n">
        <x:f>C118-H118</x:f>
        <x:v>352500</x:v>
      </x:c>
      <x:c r="L118" s="43" t="n">
        <x:f>K118/C118</x:f>
        <x:v>0.94569687799303</x:v>
      </x:c>
    </x:row>
    <x:row r="119" ht="88" customHeight="1">
      <x:c r="A119" s="46" t="str">
        <x:v>https://chistoufa.ru/upload/iblock/e1f/87e1mku12ir5wm963753rpa8nhtnqi34.jpg</x:v>
      </x:c>
      <x:c r="B119" s="17" t="str">
        <x:v>JPEG</x:v>
      </x:c>
      <x:c r="C119" s="20" t="n">
        <x:v>372741</x:v>
      </x:c>
      <x:c r="D119" s="20" t="n">
        <x:v>1200</x:v>
      </x:c>
      <x:c r="E119" s="20" t="n">
        <x:v>800</x:v>
      </x:c>
      <x:c r="F119" s="46" t="str">
        <x:v>https://chistoufa.ru/upload/resize_cache/iblock/e1f/720_480_140cd750bba9870f18aada2478b24840a/87e1mku12ir5wm963753rpa8nhtnqi34.jpg</x:v>
      </x:c>
      <x:c r="G119" s="17" t="str">
        <x:v>JPEG</x:v>
      </x:c>
      <x:c r="H119" s="20" t="n">
        <x:v>66154</x:v>
      </x:c>
      <x:c r="I119" s="20" t="n">
        <x:v>720</x:v>
      </x:c>
      <x:c r="J119" s="20" t="n">
        <x:v>480</x:v>
      </x:c>
      <x:c r="K119" s="20" t="n">
        <x:f>C119-H119</x:f>
        <x:v>306587</x:v>
      </x:c>
      <x:c r="L119" s="44" t="n">
        <x:f>K119/C119</x:f>
        <x:v>0.8225201949879407</x:v>
      </x:c>
    </x:row>
    <x:row r="120" ht="88" customHeight="1">
      <x:c r="A120" s="47" t="str">
        <x:v>https://chistoufa.ru/upload/iblock/b65/ta4omzea99o39ftmbhhgfe09nwemf9jh.jpg</x:v>
      </x:c>
      <x:c r="B120" s="3" t="str">
        <x:v>JPEG</x:v>
      </x:c>
      <x:c r="C120" s="21" t="n">
        <x:v>158265</x:v>
      </x:c>
      <x:c r="D120" s="21" t="n">
        <x:v>1200</x:v>
      </x:c>
      <x:c r="E120" s="21" t="n">
        <x:v>675</x:v>
      </x:c>
      <x:c r="F120" s="47" t="str">
        <x:v>https://chistoufa.ru/upload/resize_cache/iblock/b65/360_203_140cd750bba9870f18aada2478b24840a/ta4omzea99o39ftmbhhgfe09nwemf9jh.jpg</x:v>
      </x:c>
      <x:c r="G120" s="3" t="str">
        <x:v>JPEG</x:v>
      </x:c>
      <x:c r="H120" s="21" t="n">
        <x:v>10508</x:v>
      </x:c>
      <x:c r="I120" s="21" t="n">
        <x:v>360</x:v>
      </x:c>
      <x:c r="J120" s="21" t="n">
        <x:v>203</x:v>
      </x:c>
      <x:c r="K120" s="21" t="n">
        <x:f>C120-H120</x:f>
        <x:v>147757</x:v>
      </x:c>
      <x:c r="L120" s="43" t="n">
        <x:f>K120/C120</x:f>
        <x:v>0.9336050295390642</x:v>
      </x:c>
    </x:row>
    <x:row r="121" ht="88" customHeight="1">
      <x:c r="A121" s="46" t="str">
        <x:v>https://chistoufa.ru/upload/iblock/b65/ta4omzea99o39ftmbhhgfe09nwemf9jh.jpg</x:v>
      </x:c>
      <x:c r="B121" s="17" t="str">
        <x:v>JPEG</x:v>
      </x:c>
      <x:c r="C121" s="20" t="n">
        <x:v>158265</x:v>
      </x:c>
      <x:c r="D121" s="20" t="n">
        <x:v>1200</x:v>
      </x:c>
      <x:c r="E121" s="20" t="n">
        <x:v>675</x:v>
      </x:c>
      <x:c r="F121" s="46" t="str">
        <x:v>https://chistoufa.ru/upload/resize_cache/iblock/b65/720_405_140cd750bba9870f18aada2478b24840a/ta4omzea99o39ftmbhhgfe09nwemf9jh.jpg</x:v>
      </x:c>
      <x:c r="G121" s="17" t="str">
        <x:v>JPEG</x:v>
      </x:c>
      <x:c r="H121" s="20" t="n">
        <x:v>29530</x:v>
      </x:c>
      <x:c r="I121" s="20" t="n">
        <x:v>720</x:v>
      </x:c>
      <x:c r="J121" s="20" t="n">
        <x:v>405</x:v>
      </x:c>
      <x:c r="K121" s="20" t="n">
        <x:f>C121-H121</x:f>
        <x:v>128735</x:v>
      </x:c>
      <x:c r="L121" s="44" t="n">
        <x:f>K121/C121</x:f>
        <x:v>0.8134142103434113</x:v>
      </x:c>
    </x:row>
    <x:row r="122" ht="88" customHeight="1">
      <x:c r="A122" s="47" t="str">
        <x:v>https://chistoufa.ru/upload/iblock/0af/k5eju3wtfyayvy69qfq912eoa78c1iyy.jpg</x:v>
      </x:c>
      <x:c r="B122" s="3" t="str">
        <x:v>JPEG</x:v>
      </x:c>
      <x:c r="C122" s="21" t="n">
        <x:v>213007</x:v>
      </x:c>
      <x:c r="D122" s="21" t="n">
        <x:v>1200</x:v>
      </x:c>
      <x:c r="E122" s="21" t="n">
        <x:v>675</x:v>
      </x:c>
      <x:c r="F122" s="47" t="str">
        <x:v>https://chistoufa.ru/upload/resize_cache/iblock/0af/360_203_140cd750bba9870f18aada2478b24840a/k5eju3wtfyayvy69qfq912eoa78c1iyy.jpg</x:v>
      </x:c>
      <x:c r="G122" s="3" t="str">
        <x:v>JPEG</x:v>
      </x:c>
      <x:c r="H122" s="21" t="n">
        <x:v>14873</x:v>
      </x:c>
      <x:c r="I122" s="21" t="n">
        <x:v>360</x:v>
      </x:c>
      <x:c r="J122" s="21" t="n">
        <x:v>203</x:v>
      </x:c>
      <x:c r="K122" s="21" t="n">
        <x:f>C122-H122</x:f>
        <x:v>198134</x:v>
      </x:c>
      <x:c r="L122" s="43" t="n">
        <x:f>K122/C122</x:f>
        <x:v>0.9301760036055153</x:v>
      </x:c>
    </x:row>
    <x:row r="123" ht="88" customHeight="1">
      <x:c r="A123" s="46" t="str">
        <x:v>https://chistoufa.ru/upload/iblock/0af/k5eju3wtfyayvy69qfq912eoa78c1iyy.jpg</x:v>
      </x:c>
      <x:c r="B123" s="17" t="str">
        <x:v>JPEG</x:v>
      </x:c>
      <x:c r="C123" s="20" t="n">
        <x:v>213007</x:v>
      </x:c>
      <x:c r="D123" s="20" t="n">
        <x:v>1200</x:v>
      </x:c>
      <x:c r="E123" s="20" t="n">
        <x:v>675</x:v>
      </x:c>
      <x:c r="F123" s="46" t="str">
        <x:v>https://chistoufa.ru/upload/resize_cache/iblock/0af/720_405_140cd750bba9870f18aada2478b24840a/k5eju3wtfyayvy69qfq912eoa78c1iyy.jpg</x:v>
      </x:c>
      <x:c r="G123" s="17" t="str">
        <x:v>JPEG</x:v>
      </x:c>
      <x:c r="H123" s="20" t="n">
        <x:v>42797</x:v>
      </x:c>
      <x:c r="I123" s="20" t="n">
        <x:v>720</x:v>
      </x:c>
      <x:c r="J123" s="20" t="n">
        <x:v>405</x:v>
      </x:c>
      <x:c r="K123" s="20" t="n">
        <x:f>C123-H123</x:f>
        <x:v>170210</x:v>
      </x:c>
      <x:c r="L123" s="44" t="n">
        <x:f>K123/C123</x:f>
        <x:v>0.7990817203190506</x:v>
      </x:c>
    </x:row>
    <x:row r="124" ht="88" customHeight="1">
      <x:c r="A124" s="47" t="str">
        <x:v>https://chistoufa.ru/upload/iblock/c2f/ubfi667bcfxgzfjv4rpuindp3q32li6m.jpg</x:v>
      </x:c>
      <x:c r="B124" s="3" t="str">
        <x:v>JPEG</x:v>
      </x:c>
      <x:c r="C124" s="21" t="n">
        <x:v>267028</x:v>
      </x:c>
      <x:c r="D124" s="21" t="n">
        <x:v>1200</x:v>
      </x:c>
      <x:c r="E124" s="21" t="n">
        <x:v>675</x:v>
      </x:c>
      <x:c r="F124" s="47" t="str">
        <x:v>https://chistoufa.ru/upload/resize_cache/iblock/c2f/360_203_140cd750bba9870f18aada2478b24840a/ubfi667bcfxgzfjv4rpuindp3q32li6m.jpg</x:v>
      </x:c>
      <x:c r="G124" s="3" t="str">
        <x:v>JPEG</x:v>
      </x:c>
      <x:c r="H124" s="21" t="n">
        <x:v>18593</x:v>
      </x:c>
      <x:c r="I124" s="21" t="n">
        <x:v>360</x:v>
      </x:c>
      <x:c r="J124" s="21" t="n">
        <x:v>203</x:v>
      </x:c>
      <x:c r="K124" s="21" t="n">
        <x:f>C124-H124</x:f>
        <x:v>248435</x:v>
      </x:c>
      <x:c r="L124" s="43" t="n">
        <x:f>K124/C124</x:f>
        <x:v>0.9303705978399269</x:v>
      </x:c>
    </x:row>
    <x:row r="125" ht="88" customHeight="1">
      <x:c r="A125" s="46" t="str">
        <x:v>https://chistoufa.ru/upload/iblock/c2f/ubfi667bcfxgzfjv4rpuindp3q32li6m.jpg</x:v>
      </x:c>
      <x:c r="B125" s="17" t="str">
        <x:v>JPEG</x:v>
      </x:c>
      <x:c r="C125" s="20" t="n">
        <x:v>267028</x:v>
      </x:c>
      <x:c r="D125" s="20" t="n">
        <x:v>1200</x:v>
      </x:c>
      <x:c r="E125" s="20" t="n">
        <x:v>675</x:v>
      </x:c>
      <x:c r="F125" s="46" t="str">
        <x:v>https://chistoufa.ru/upload/resize_cache/iblock/c2f/720_405_140cd750bba9870f18aada2478b24840a/ubfi667bcfxgzfjv4rpuindp3q32li6m.jpg</x:v>
      </x:c>
      <x:c r="G125" s="17" t="str">
        <x:v>JPEG</x:v>
      </x:c>
      <x:c r="H125" s="20" t="n">
        <x:v>53447</x:v>
      </x:c>
      <x:c r="I125" s="20" t="n">
        <x:v>720</x:v>
      </x:c>
      <x:c r="J125" s="20" t="n">
        <x:v>405</x:v>
      </x:c>
      <x:c r="K125" s="20" t="n">
        <x:f>C125-H125</x:f>
        <x:v>213581</x:v>
      </x:c>
      <x:c r="L125" s="44" t="n">
        <x:f>K125/C125</x:f>
        <x:v>0.7998449600790928</x:v>
      </x:c>
    </x:row>
    <x:row r="126" ht="88" customHeight="1">
      <x:c r="A126" s="47" t="str">
        <x:v>https://chistoufa.ru/upload/iblock/0ef/9fgmvabn1dtdm6a25ovzhz6xti6734wr.jpg</x:v>
      </x:c>
      <x:c r="B126" s="3" t="str">
        <x:v>JPEG</x:v>
      </x:c>
      <x:c r="C126" s="21" t="n">
        <x:v>347973</x:v>
      </x:c>
      <x:c r="D126" s="21" t="n">
        <x:v>1930</x:v>
      </x:c>
      <x:c r="E126" s="21" t="n">
        <x:v>1308</x:v>
      </x:c>
      <x:c r="F126" s="47" t="str">
        <x:v>https://chistoufa.ru/upload/resize_cache/iblock/0ef/360_244_140cd750bba9870f18aada2478b24840a/9fgmvabn1dtdm6a25ovzhz6xti6734wr.jpg</x:v>
      </x:c>
      <x:c r="G126" s="3" t="str">
        <x:v>JPEG</x:v>
      </x:c>
      <x:c r="H126" s="21" t="n">
        <x:v>24703</x:v>
      </x:c>
      <x:c r="I126" s="21" t="n">
        <x:v>360</x:v>
      </x:c>
      <x:c r="J126" s="21" t="n">
        <x:v>244</x:v>
      </x:c>
      <x:c r="K126" s="21" t="n">
        <x:f>C126-H126</x:f>
        <x:v>323270</x:v>
      </x:c>
      <x:c r="L126" s="43" t="n">
        <x:f>K126/C126</x:f>
        <x:v>0.929008859882807</x:v>
      </x:c>
    </x:row>
    <x:row r="127" ht="88" customHeight="1">
      <x:c r="A127" s="46" t="str">
        <x:v>https://chistoufa.ru/upload/iblock/0ef/9fgmvabn1dtdm6a25ovzhz6xti6734wr.jpg</x:v>
      </x:c>
      <x:c r="B127" s="17" t="str">
        <x:v>JPEG</x:v>
      </x:c>
      <x:c r="C127" s="20" t="n">
        <x:v>347973</x:v>
      </x:c>
      <x:c r="D127" s="20" t="n">
        <x:v>1930</x:v>
      </x:c>
      <x:c r="E127" s="20" t="n">
        <x:v>1308</x:v>
      </x:c>
      <x:c r="F127" s="46" t="str">
        <x:v>https://chistoufa.ru/upload/resize_cache/iblock/0ef/720_488_140cd750bba9870f18aada2478b24840a/9fgmvabn1dtdm6a25ovzhz6xti6734wr.jpg</x:v>
      </x:c>
      <x:c r="G127" s="17" t="str">
        <x:v>JPEG</x:v>
      </x:c>
      <x:c r="H127" s="20" t="n">
        <x:v>78179</x:v>
      </x:c>
      <x:c r="I127" s="20" t="n">
        <x:v>720</x:v>
      </x:c>
      <x:c r="J127" s="20" t="n">
        <x:v>488</x:v>
      </x:c>
      <x:c r="K127" s="20" t="n">
        <x:f>C127-H127</x:f>
        <x:v>269794</x:v>
      </x:c>
      <x:c r="L127" s="44" t="n">
        <x:f>K127/C127</x:f>
        <x:v>0.7753302698772606</x:v>
      </x:c>
    </x:row>
    <x:row r="128" ht="88" customHeight="1">
      <x:c r="A128" s="47" t="str">
        <x:v>https://chistoufa.ru/upload/iblock/0ef/9fgmvabn1dtdm6a25ovzhz6xti6734wr.jpg</x:v>
      </x:c>
      <x:c r="B128" s="3" t="str">
        <x:v>JPEG</x:v>
      </x:c>
      <x:c r="C128" s="21" t="n">
        <x:v>347973</x:v>
      </x:c>
      <x:c r="D128" s="21" t="n">
        <x:v>1930</x:v>
      </x:c>
      <x:c r="E128" s="21" t="n">
        <x:v>1308</x:v>
      </x:c>
      <x:c r="F128" s="47" t="str">
        <x:v>https://chistoufa.ru/upload/resize_cache/iblock/0ef/1200_813_140cd750bba9870f18aada2478b24840a/9fgmvabn1dtdm6a25ovzhz6xti6734wr.jpg</x:v>
      </x:c>
      <x:c r="G128" s="3" t="str">
        <x:v>JPEG</x:v>
      </x:c>
      <x:c r="H128" s="21" t="n">
        <x:v>182271</x:v>
      </x:c>
      <x:c r="I128" s="21" t="n">
        <x:v>1200</x:v>
      </x:c>
      <x:c r="J128" s="21" t="n">
        <x:v>813</x:v>
      </x:c>
      <x:c r="K128" s="21" t="n">
        <x:f>C128-H128</x:f>
        <x:v>165702</x:v>
      </x:c>
      <x:c r="L128" s="43" t="n">
        <x:f>K128/C128</x:f>
        <x:v>0.4761921183540102</x:v>
      </x:c>
    </x:row>
    <x:row r="129" ht="88" customHeight="1">
      <x:c r="A129" s="46" t="str">
        <x:v>https://chistoufa.ru/upload/iblock/b88/o4sy6bgnl7063fi8r135ajltv26m5ovk.jpg</x:v>
      </x:c>
      <x:c r="B129" s="17" t="str">
        <x:v>JPEG</x:v>
      </x:c>
      <x:c r="C129" s="20" t="n">
        <x:v>220916</x:v>
      </x:c>
      <x:c r="D129" s="20" t="n">
        <x:v>1200</x:v>
      </x:c>
      <x:c r="E129" s="20" t="n">
        <x:v>675</x:v>
      </x:c>
      <x:c r="F129" s="46" t="str">
        <x:v>https://chistoufa.ru/upload/resize_cache/iblock/b88/360_203_140cd750bba9870f18aada2478b24840a/o4sy6bgnl7063fi8r135ajltv26m5ovk.jpg</x:v>
      </x:c>
      <x:c r="G129" s="17" t="str">
        <x:v>JPEG</x:v>
      </x:c>
      <x:c r="H129" s="20" t="n">
        <x:v>14166</x:v>
      </x:c>
      <x:c r="I129" s="20" t="n">
        <x:v>360</x:v>
      </x:c>
      <x:c r="J129" s="20" t="n">
        <x:v>203</x:v>
      </x:c>
      <x:c r="K129" s="20" t="n">
        <x:f>C129-H129</x:f>
        <x:v>206750</x:v>
      </x:c>
      <x:c r="L129" s="44" t="n">
        <x:f>K129/C129</x:f>
        <x:v>0.9358760795958645</x:v>
      </x:c>
    </x:row>
    <x:row r="130" ht="88" customHeight="1">
      <x:c r="A130" s="47" t="str">
        <x:v>https://chistoufa.ru/upload/iblock/b88/o4sy6bgnl7063fi8r135ajltv26m5ovk.jpg</x:v>
      </x:c>
      <x:c r="B130" s="3" t="str">
        <x:v>JPEG</x:v>
      </x:c>
      <x:c r="C130" s="21" t="n">
        <x:v>220916</x:v>
      </x:c>
      <x:c r="D130" s="21" t="n">
        <x:v>1200</x:v>
      </x:c>
      <x:c r="E130" s="21" t="n">
        <x:v>675</x:v>
      </x:c>
      <x:c r="F130" s="47" t="str">
        <x:v>https://chistoufa.ru/upload/resize_cache/iblock/b88/720_405_140cd750bba9870f18aada2478b24840a/o4sy6bgnl7063fi8r135ajltv26m5ovk.jpg</x:v>
      </x:c>
      <x:c r="G130" s="3" t="str">
        <x:v>JPEG</x:v>
      </x:c>
      <x:c r="H130" s="21" t="n">
        <x:v>39309</x:v>
      </x:c>
      <x:c r="I130" s="21" t="n">
        <x:v>720</x:v>
      </x:c>
      <x:c r="J130" s="21" t="n">
        <x:v>405</x:v>
      </x:c>
      <x:c r="K130" s="21" t="n">
        <x:f>C130-H130</x:f>
        <x:v>181607</x:v>
      </x:c>
      <x:c r="L130" s="43" t="n">
        <x:f>K130/C130</x:f>
        <x:v>0.8220635897807311</x:v>
      </x:c>
    </x:row>
    <x:row r="131" ht="88" customHeight="1">
      <x:c r="A131" s="46" t="str">
        <x:v>https://chistoufa.ru/upload/iblock/110/ke8tlwrs79wrzxqzatv0j19r11uk5v50.JPG</x:v>
      </x:c>
      <x:c r="B131" s="17" t="str">
        <x:v>JPEG</x:v>
      </x:c>
      <x:c r="C131" s="20" t="n">
        <x:v>470330</x:v>
      </x:c>
      <x:c r="D131" s="20" t="n">
        <x:v>1200</x:v>
      </x:c>
      <x:c r="E131" s="20" t="n">
        <x:v>675</x:v>
      </x:c>
      <x:c r="F131" s="46" t="str">
        <x:v>https://chistoufa.ru/upload/resize_cache/iblock/110/360_203_140cd750bba9870f18aada2478b24840a/ke8tlwrs79wrzxqzatv0j19r11uk5v50.JPG</x:v>
      </x:c>
      <x:c r="G131" s="17" t="str">
        <x:v>JPEG</x:v>
      </x:c>
      <x:c r="H131" s="20" t="n">
        <x:v>25379</x:v>
      </x:c>
      <x:c r="I131" s="20" t="n">
        <x:v>360</x:v>
      </x:c>
      <x:c r="J131" s="20" t="n">
        <x:v>203</x:v>
      </x:c>
      <x:c r="K131" s="20" t="n">
        <x:f>C131-H131</x:f>
        <x:v>444951</x:v>
      </x:c>
      <x:c r="L131" s="44" t="n">
        <x:f>K131/C131</x:f>
        <x:v>0.9460400144579338</x:v>
      </x:c>
    </x:row>
    <x:row r="132" ht="88" customHeight="1">
      <x:c r="A132" s="47" t="str">
        <x:v>https://chistoufa.ru/upload/iblock/110/ke8tlwrs79wrzxqzatv0j19r11uk5v50.JPG</x:v>
      </x:c>
      <x:c r="B132" s="3" t="str">
        <x:v>JPEG</x:v>
      </x:c>
      <x:c r="C132" s="21" t="n">
        <x:v>470330</x:v>
      </x:c>
      <x:c r="D132" s="21" t="n">
        <x:v>1200</x:v>
      </x:c>
      <x:c r="E132" s="21" t="n">
        <x:v>675</x:v>
      </x:c>
      <x:c r="F132" s="47" t="str">
        <x:v>https://chistoufa.ru/upload/resize_cache/iblock/110/720_405_140cd750bba9870f18aada2478b24840a/ke8tlwrs79wrzxqzatv0j19r11uk5v50.JPG</x:v>
      </x:c>
      <x:c r="G132" s="3" t="str">
        <x:v>JPEG</x:v>
      </x:c>
      <x:c r="H132" s="21" t="n">
        <x:v>93130</x:v>
      </x:c>
      <x:c r="I132" s="21" t="n">
        <x:v>720</x:v>
      </x:c>
      <x:c r="J132" s="21" t="n">
        <x:v>405</x:v>
      </x:c>
      <x:c r="K132" s="21" t="n">
        <x:f>C132-H132</x:f>
        <x:v>377200</x:v>
      </x:c>
      <x:c r="L132" s="43" t="n">
        <x:f>K132/C132</x:f>
        <x:v>0.8019900920630196</x:v>
      </x:c>
    </x:row>
    <x:row r="133" ht="88" customHeight="1">
      <x:c r="A133" s="46" t="str">
        <x:v>https://chistoufa.ru/upload/iblock/51d/upvqdak6yznb7cynq68j6da4qh2mlrsg.JPG</x:v>
      </x:c>
      <x:c r="B133" s="17" t="str">
        <x:v>JPEG</x:v>
      </x:c>
      <x:c r="C133" s="20" t="n">
        <x:v>426150</x:v>
      </x:c>
      <x:c r="D133" s="20" t="n">
        <x:v>1200</x:v>
      </x:c>
      <x:c r="E133" s="20" t="n">
        <x:v>675</x:v>
      </x:c>
      <x:c r="F133" s="46" t="str">
        <x:v>https://chistoufa.ru/upload/resize_cache/iblock/51d/360_203_140cd750bba9870f18aada2478b24840a/upvqdak6yznb7cynq68j6da4qh2mlrsg.JPG</x:v>
      </x:c>
      <x:c r="G133" s="17" t="str">
        <x:v>JPEG</x:v>
      </x:c>
      <x:c r="H133" s="20" t="n">
        <x:v>15660</x:v>
      </x:c>
      <x:c r="I133" s="20" t="n">
        <x:v>360</x:v>
      </x:c>
      <x:c r="J133" s="20" t="n">
        <x:v>203</x:v>
      </x:c>
      <x:c r="K133" s="20" t="n">
        <x:f>C133-H133</x:f>
        <x:v>410490</x:v>
      </x:c>
      <x:c r="L133" s="44" t="n">
        <x:f>K133/C133</x:f>
        <x:v>0.9632523759239704</x:v>
      </x:c>
    </x:row>
    <x:row r="134" ht="88" customHeight="1">
      <x:c r="A134" s="47" t="str">
        <x:v>https://chistoufa.ru/upload/iblock/51d/upvqdak6yznb7cynq68j6da4qh2mlrsg.JPG</x:v>
      </x:c>
      <x:c r="B134" s="3" t="str">
        <x:v>JPEG</x:v>
      </x:c>
      <x:c r="C134" s="21" t="n">
        <x:v>426150</x:v>
      </x:c>
      <x:c r="D134" s="21" t="n">
        <x:v>1200</x:v>
      </x:c>
      <x:c r="E134" s="21" t="n">
        <x:v>675</x:v>
      </x:c>
      <x:c r="F134" s="47" t="str">
        <x:v>https://chistoufa.ru/upload/resize_cache/iblock/51d/720_405_140cd750bba9870f18aada2478b24840a/upvqdak6yznb7cynq68j6da4qh2mlrsg.JPG</x:v>
      </x:c>
      <x:c r="G134" s="3" t="str">
        <x:v>JPEG</x:v>
      </x:c>
      <x:c r="H134" s="21" t="n">
        <x:v>73164</x:v>
      </x:c>
      <x:c r="I134" s="21" t="n">
        <x:v>720</x:v>
      </x:c>
      <x:c r="J134" s="21" t="n">
        <x:v>405</x:v>
      </x:c>
      <x:c r="K134" s="21" t="n">
        <x:f>C134-H134</x:f>
        <x:v>352986</x:v>
      </x:c>
      <x:c r="L134" s="43" t="n">
        <x:f>K134/C134</x:f>
        <x:v>0.8283139739528335</x:v>
      </x:c>
    </x:row>
    <x:row r="135" ht="88" customHeight="1">
      <x:c r="A135" s="46" t="str">
        <x:v>https://chistoufa.ru/upload/iblock/e0a/hzaorqyb4h9kjgyj5x23duox9z3jfyq3.jpg</x:v>
      </x:c>
      <x:c r="B135" s="17" t="str">
        <x:v>JPEG</x:v>
      </x:c>
      <x:c r="C135" s="20" t="n">
        <x:v>330369</x:v>
      </x:c>
      <x:c r="D135" s="20" t="n">
        <x:v>1200</x:v>
      </x:c>
      <x:c r="E135" s="20" t="n">
        <x:v>766</x:v>
      </x:c>
      <x:c r="F135" s="46" t="str">
        <x:v>https://chistoufa.ru/upload/resize_cache/iblock/e0a/360_230_140cd750bba9870f18aada2478b24840a/hzaorqyb4h9kjgyj5x23duox9z3jfyq3.jpg</x:v>
      </x:c>
      <x:c r="G135" s="17" t="str">
        <x:v>JPEG</x:v>
      </x:c>
      <x:c r="H135" s="20" t="n">
        <x:v>19041</x:v>
      </x:c>
      <x:c r="I135" s="20" t="n">
        <x:v>360</x:v>
      </x:c>
      <x:c r="J135" s="20" t="n">
        <x:v>230</x:v>
      </x:c>
      <x:c r="K135" s="20" t="n">
        <x:f>C135-H135</x:f>
        <x:v>311328</x:v>
      </x:c>
      <x:c r="L135" s="44" t="n">
        <x:f>K135/C135</x:f>
        <x:v>0.9423644470274148</x:v>
      </x:c>
    </x:row>
    <x:row r="136" ht="88" customHeight="1">
      <x:c r="A136" s="47" t="str">
        <x:v>https://chistoufa.ru/upload/iblock/e0a/hzaorqyb4h9kjgyj5x23duox9z3jfyq3.jpg</x:v>
      </x:c>
      <x:c r="B136" s="3" t="str">
        <x:v>JPEG</x:v>
      </x:c>
      <x:c r="C136" s="21" t="n">
        <x:v>330369</x:v>
      </x:c>
      <x:c r="D136" s="21" t="n">
        <x:v>1200</x:v>
      </x:c>
      <x:c r="E136" s="21" t="n">
        <x:v>766</x:v>
      </x:c>
      <x:c r="F136" s="47" t="str">
        <x:v>https://chistoufa.ru/upload/resize_cache/iblock/e0a/720_460_140cd750bba9870f18aada2478b24840a/hzaorqyb4h9kjgyj5x23duox9z3jfyq3.jpg</x:v>
      </x:c>
      <x:c r="G136" s="3" t="str">
        <x:v>JPEG</x:v>
      </x:c>
      <x:c r="H136" s="21" t="n">
        <x:v>64047</x:v>
      </x:c>
      <x:c r="I136" s="21" t="n">
        <x:v>720</x:v>
      </x:c>
      <x:c r="J136" s="21" t="n">
        <x:v>460</x:v>
      </x:c>
      <x:c r="K136" s="21" t="n">
        <x:f>C136-H136</x:f>
        <x:v>266322</x:v>
      </x:c>
      <x:c r="L136" s="43" t="n">
        <x:f>K136/C136</x:f>
        <x:v>0.8061349581831225</x:v>
      </x:c>
    </x:row>
    <x:row r="137" ht="88" customHeight="1">
      <x:c r="A137" s="46" t="str">
        <x:v>https://chistoufa.ru/upload/iblock/8e9/z5gfu12f338vbnwhhdqjgrlh6dyhxa2z.jpg</x:v>
      </x:c>
      <x:c r="B137" s="17" t="str">
        <x:v>JPEG</x:v>
      </x:c>
      <x:c r="C137" s="20" t="n">
        <x:v>248966</x:v>
      </x:c>
      <x:c r="D137" s="20" t="n">
        <x:v>1200</x:v>
      </x:c>
      <x:c r="E137" s="20" t="n">
        <x:v>627</x:v>
      </x:c>
      <x:c r="F137" s="46" t="str">
        <x:v>https://chistoufa.ru/upload/resize_cache/iblock/8e9/360_188_140cd750bba9870f18aada2478b24840a/z5gfu12f338vbnwhhdqjgrlh6dyhxa2z.jpg</x:v>
      </x:c>
      <x:c r="G137" s="17" t="str">
        <x:v>JPEG</x:v>
      </x:c>
      <x:c r="H137" s="20" t="n">
        <x:v>16977</x:v>
      </x:c>
      <x:c r="I137" s="20" t="n">
        <x:v>360</x:v>
      </x:c>
      <x:c r="J137" s="20" t="n">
        <x:v>188</x:v>
      </x:c>
      <x:c r="K137" s="20" t="n">
        <x:f>C137-H137</x:f>
        <x:v>231989</x:v>
      </x:c>
      <x:c r="L137" s="44" t="n">
        <x:f>K137/C137</x:f>
        <x:v>0.9318099660194564</x:v>
      </x:c>
    </x:row>
    <x:row r="138" ht="88" customHeight="1">
      <x:c r="A138" s="47" t="str">
        <x:v>https://chistoufa.ru/upload/iblock/8e9/z5gfu12f338vbnwhhdqjgrlh6dyhxa2z.jpg</x:v>
      </x:c>
      <x:c r="B138" s="3" t="str">
        <x:v>JPEG</x:v>
      </x:c>
      <x:c r="C138" s="21" t="n">
        <x:v>248966</x:v>
      </x:c>
      <x:c r="D138" s="21" t="n">
        <x:v>1200</x:v>
      </x:c>
      <x:c r="E138" s="21" t="n">
        <x:v>627</x:v>
      </x:c>
      <x:c r="F138" s="47" t="str">
        <x:v>https://chistoufa.ru/upload/resize_cache/iblock/8e9/720_376_140cd750bba9870f18aada2478b24840a/z5gfu12f338vbnwhhdqjgrlh6dyhxa2z.jpg</x:v>
      </x:c>
      <x:c r="G138" s="3" t="str">
        <x:v>JPEG</x:v>
      </x:c>
      <x:c r="H138" s="21" t="n">
        <x:v>48766</x:v>
      </x:c>
      <x:c r="I138" s="21" t="n">
        <x:v>720</x:v>
      </x:c>
      <x:c r="J138" s="21" t="n">
        <x:v>376</x:v>
      </x:c>
      <x:c r="K138" s="21" t="n">
        <x:f>C138-H138</x:f>
        <x:v>200200</x:v>
      </x:c>
      <x:c r="L138" s="43" t="n">
        <x:f>K138/C138</x:f>
        <x:v>0.8041258645758859</x:v>
      </x:c>
    </x:row>
    <x:row r="139" ht="88" customHeight="1">
      <x:c r="A139" s="46" t="str">
        <x:v>https://chistoufa.ru/upload/iblock/a9c/wjmj3yoj5azkf3t4hpv6jqlj062hvrhd.JPG</x:v>
      </x:c>
      <x:c r="B139" s="17" t="str">
        <x:v>JPEG</x:v>
      </x:c>
      <x:c r="C139" s="20" t="n">
        <x:v>427574</x:v>
      </x:c>
      <x:c r="D139" s="20" t="n">
        <x:v>1200</x:v>
      </x:c>
      <x:c r="E139" s="20" t="n">
        <x:v>727</x:v>
      </x:c>
      <x:c r="F139" s="46" t="str">
        <x:v>https://chistoufa.ru/upload/resize_cache/iblock/a9c/360_218_140cd750bba9870f18aada2478b24840a/wjmj3yoj5azkf3t4hpv6jqlj062hvrhd.JPG</x:v>
      </x:c>
      <x:c r="G139" s="17" t="str">
        <x:v>JPEG</x:v>
      </x:c>
      <x:c r="H139" s="20" t="n">
        <x:v>25159</x:v>
      </x:c>
      <x:c r="I139" s="20" t="n">
        <x:v>360</x:v>
      </x:c>
      <x:c r="J139" s="20" t="n">
        <x:v>218</x:v>
      </x:c>
      <x:c r="K139" s="20" t="n">
        <x:f>C139-H139</x:f>
        <x:v>402415</x:v>
      </x:c>
      <x:c r="L139" s="44" t="n">
        <x:f>K139/C139</x:f>
        <x:v>0.9411587234022649</x:v>
      </x:c>
    </x:row>
    <x:row r="140" ht="88" customHeight="1">
      <x:c r="A140" s="47" t="str">
        <x:v>https://chistoufa.ru/upload/iblock/a9c/wjmj3yoj5azkf3t4hpv6jqlj062hvrhd.JPG</x:v>
      </x:c>
      <x:c r="B140" s="3" t="str">
        <x:v>JPEG</x:v>
      </x:c>
      <x:c r="C140" s="21" t="n">
        <x:v>427574</x:v>
      </x:c>
      <x:c r="D140" s="21" t="n">
        <x:v>1200</x:v>
      </x:c>
      <x:c r="E140" s="21" t="n">
        <x:v>727</x:v>
      </x:c>
      <x:c r="F140" s="47" t="str">
        <x:v>https://chistoufa.ru/upload/resize_cache/iblock/a9c/720_436_140cd750bba9870f18aada2478b24840a/wjmj3yoj5azkf3t4hpv6jqlj062hvrhd.JPG</x:v>
      </x:c>
      <x:c r="G140" s="3" t="str">
        <x:v>JPEG</x:v>
      </x:c>
      <x:c r="H140" s="21" t="n">
        <x:v>92163</x:v>
      </x:c>
      <x:c r="I140" s="21" t="n">
        <x:v>720</x:v>
      </x:c>
      <x:c r="J140" s="21" t="n">
        <x:v>436</x:v>
      </x:c>
      <x:c r="K140" s="21" t="n">
        <x:f>C140-H140</x:f>
        <x:v>335411</x:v>
      </x:c>
      <x:c r="L140" s="43" t="n">
        <x:f>K140/C140</x:f>
        <x:v>0.7844513464335998</x:v>
      </x:c>
    </x:row>
    <x:row r="141" ht="88" customHeight="1">
      <x:c r="A141" s="46" t="str">
        <x:v>https://chistoufa.ru/upload/iblock/f50/bw1uuucr1ruwtzts45knfr0r32h89ae1.jpg</x:v>
      </x:c>
      <x:c r="B141" s="17" t="str">
        <x:v>JPEG</x:v>
      </x:c>
      <x:c r="C141" s="20" t="n">
        <x:v>268968</x:v>
      </x:c>
      <x:c r="D141" s="20" t="n">
        <x:v>1200</x:v>
      </x:c>
      <x:c r="E141" s="20" t="n">
        <x:v>675</x:v>
      </x:c>
      <x:c r="F141" s="46" t="str">
        <x:v>https://chistoufa.ru/upload/resize_cache/iblock/f50/360_203_140cd750bba9870f18aada2478b24840a/bw1uuucr1ruwtzts45knfr0r32h89ae1.jpg</x:v>
      </x:c>
      <x:c r="G141" s="17" t="str">
        <x:v>JPEG</x:v>
      </x:c>
      <x:c r="H141" s="20" t="n">
        <x:v>14827</x:v>
      </x:c>
      <x:c r="I141" s="20" t="n">
        <x:v>360</x:v>
      </x:c>
      <x:c r="J141" s="20" t="n">
        <x:v>203</x:v>
      </x:c>
      <x:c r="K141" s="20" t="n">
        <x:f>C141-H141</x:f>
        <x:v>254141</x:v>
      </x:c>
      <x:c r="L141" s="44" t="n">
        <x:f>K141/C141</x:f>
        <x:v>0.9448744832098985</x:v>
      </x:c>
    </x:row>
    <x:row r="142" ht="88" customHeight="1">
      <x:c r="A142" s="47" t="str">
        <x:v>https://chistoufa.ru/upload/iblock/f50/bw1uuucr1ruwtzts45knfr0r32h89ae1.jpg</x:v>
      </x:c>
      <x:c r="B142" s="3" t="str">
        <x:v>JPEG</x:v>
      </x:c>
      <x:c r="C142" s="21" t="n">
        <x:v>268968</x:v>
      </x:c>
      <x:c r="D142" s="21" t="n">
        <x:v>1200</x:v>
      </x:c>
      <x:c r="E142" s="21" t="n">
        <x:v>675</x:v>
      </x:c>
      <x:c r="F142" s="47" t="str">
        <x:v>https://chistoufa.ru/upload/resize_cache/iblock/f50/720_405_140cd750bba9870f18aada2478b24840a/bw1uuucr1ruwtzts45knfr0r32h89ae1.jpg</x:v>
      </x:c>
      <x:c r="G142" s="3" t="str">
        <x:v>JPEG</x:v>
      </x:c>
      <x:c r="H142" s="21" t="n">
        <x:v>50272</x:v>
      </x:c>
      <x:c r="I142" s="21" t="n">
        <x:v>720</x:v>
      </x:c>
      <x:c r="J142" s="21" t="n">
        <x:v>405</x:v>
      </x:c>
      <x:c r="K142" s="21" t="n">
        <x:f>C142-H142</x:f>
        <x:v>218696</x:v>
      </x:c>
      <x:c r="L142" s="43" t="n">
        <x:f>K142/C142</x:f>
        <x:v>0.8130930073465988</x:v>
      </x:c>
    </x:row>
    <x:row r="143" ht="88" customHeight="1">
      <x:c r="A143" s="46" t="str">
        <x:v>https://chistoufa.ru/upload/iblock/9c8/x3k2g7cu0gk3ihscgln9230nsx22zyrc.jpg</x:v>
      </x:c>
      <x:c r="B143" s="17" t="str">
        <x:v>JPEG</x:v>
      </x:c>
      <x:c r="C143" s="20" t="n">
        <x:v>247602</x:v>
      </x:c>
      <x:c r="D143" s="20" t="n">
        <x:v>1200</x:v>
      </x:c>
      <x:c r="E143" s="20" t="n">
        <x:v>675</x:v>
      </x:c>
      <x:c r="F143" s="46" t="str">
        <x:v>https://chistoufa.ru/upload/resize_cache/iblock/9c8/360_203_140cd750bba9870f18aada2478b24840a/x3k2g7cu0gk3ihscgln9230nsx22zyrc.jpg</x:v>
      </x:c>
      <x:c r="G143" s="17" t="str">
        <x:v>JPEG</x:v>
      </x:c>
      <x:c r="H143" s="20" t="n">
        <x:v>15792</x:v>
      </x:c>
      <x:c r="I143" s="20" t="n">
        <x:v>360</x:v>
      </x:c>
      <x:c r="J143" s="20" t="n">
        <x:v>203</x:v>
      </x:c>
      <x:c r="K143" s="20" t="n">
        <x:f>C143-H143</x:f>
        <x:v>231810</x:v>
      </x:c>
      <x:c r="L143" s="44" t="n">
        <x:f>K143/C143</x:f>
        <x:v>0.9362202243923716</x:v>
      </x:c>
    </x:row>
    <x:row r="144" ht="88" customHeight="1">
      <x:c r="A144" s="47" t="str">
        <x:v>https://chistoufa.ru/upload/iblock/9c8/x3k2g7cu0gk3ihscgln9230nsx22zyrc.jpg</x:v>
      </x:c>
      <x:c r="B144" s="3" t="str">
        <x:v>JPEG</x:v>
      </x:c>
      <x:c r="C144" s="21" t="n">
        <x:v>247602</x:v>
      </x:c>
      <x:c r="D144" s="21" t="n">
        <x:v>1200</x:v>
      </x:c>
      <x:c r="E144" s="21" t="n">
        <x:v>675</x:v>
      </x:c>
      <x:c r="F144" s="47" t="str">
        <x:v>https://chistoufa.ru/upload/resize_cache/iblock/9c8/720_405_140cd750bba9870f18aada2478b24840a/x3k2g7cu0gk3ihscgln9230nsx22zyrc.jpg</x:v>
      </x:c>
      <x:c r="G144" s="3" t="str">
        <x:v>JPEG</x:v>
      </x:c>
      <x:c r="H144" s="21" t="n">
        <x:v>45744</x:v>
      </x:c>
      <x:c r="I144" s="21" t="n">
        <x:v>720</x:v>
      </x:c>
      <x:c r="J144" s="21" t="n">
        <x:v>405</x:v>
      </x:c>
      <x:c r="K144" s="21" t="n">
        <x:f>C144-H144</x:f>
        <x:v>201858</x:v>
      </x:c>
      <x:c r="L144" s="43" t="n">
        <x:f>K144/C144</x:f>
        <x:v>0.8152518961882376</x:v>
      </x:c>
    </x:row>
    <x:row r="145" ht="88" customHeight="1">
      <x:c r="A145" s="46" t="str">
        <x:v>https://chistoufa.ru/upload/iblock/6e3/eu5pt6uqrwav49w94lezx07xrkt0xjx0.jpg</x:v>
      </x:c>
      <x:c r="B145" s="17" t="str">
        <x:v>JPEG</x:v>
      </x:c>
      <x:c r="C145" s="20" t="n">
        <x:v>104329</x:v>
      </x:c>
      <x:c r="D145" s="20" t="n">
        <x:v>837</x:v>
      </x:c>
      <x:c r="E145" s="20" t="n">
        <x:v>491</x:v>
      </x:c>
      <x:c r="F145" s="46" t="str">
        <x:v>https://chistoufa.ru/upload/resize_cache/iblock/6e3/360_211_140cd750bba9870f18aada2478b24840a/eu5pt6uqrwav49w94lezx07xrkt0xjx0.jpg</x:v>
      </x:c>
      <x:c r="G145" s="17" t="str">
        <x:v>JPEG</x:v>
      </x:c>
      <x:c r="H145" s="20" t="n">
        <x:v>25138</x:v>
      </x:c>
      <x:c r="I145" s="20" t="n">
        <x:v>360</x:v>
      </x:c>
      <x:c r="J145" s="20" t="n">
        <x:v>211</x:v>
      </x:c>
      <x:c r="K145" s="20" t="n">
        <x:f>C145-H145</x:f>
        <x:v>79191</x:v>
      </x:c>
      <x:c r="L145" s="44" t="n">
        <x:f>K145/C145</x:f>
        <x:v>0.7590506953962944</x:v>
      </x:c>
    </x:row>
    <x:row r="146" ht="88" customHeight="1">
      <x:c r="A146" s="47" t="str">
        <x:v>https://chistoufa.ru/upload/iblock/6e3/eu5pt6uqrwav49w94lezx07xrkt0xjx0.jpg</x:v>
      </x:c>
      <x:c r="B146" s="3" t="str">
        <x:v>JPEG</x:v>
      </x:c>
      <x:c r="C146" s="21" t="n">
        <x:v>104329</x:v>
      </x:c>
      <x:c r="D146" s="21" t="n">
        <x:v>837</x:v>
      </x:c>
      <x:c r="E146" s="21" t="n">
        <x:v>491</x:v>
      </x:c>
      <x:c r="F146" s="47" t="str">
        <x:v>https://chistoufa.ru/upload/resize_cache/iblock/6e3/720_422_140cd750bba9870f18aada2478b24840a/eu5pt6uqrwav49w94lezx07xrkt0xjx0.jpg</x:v>
      </x:c>
      <x:c r="G146" s="3" t="str">
        <x:v>JPEG</x:v>
      </x:c>
      <x:c r="H146" s="21" t="n">
        <x:v>76567</x:v>
      </x:c>
      <x:c r="I146" s="21" t="n">
        <x:v>719</x:v>
      </x:c>
      <x:c r="J146" s="21" t="n">
        <x:v>422</x:v>
      </x:c>
      <x:c r="K146" s="21" t="n">
        <x:f>C146-H146</x:f>
        <x:v>27762</x:v>
      </x:c>
      <x:c r="L146" s="43" t="n">
        <x:f>K146/C146</x:f>
        <x:v>0.2661005089668261</x:v>
      </x:c>
    </x:row>
    <x:row r="147" ht="88" customHeight="1">
      <x:c r="A147" s="46" t="str">
        <x:v>https://chistoufa.ru/upload/iblock/62b/8pi9epe07axiy5sj0dzoy0jml3m0rocn.jpg</x:v>
      </x:c>
      <x:c r="B147" s="17" t="str">
        <x:v>JPEG</x:v>
      </x:c>
      <x:c r="C147" s="20" t="n">
        <x:v>529575</x:v>
      </x:c>
      <x:c r="D147" s="20" t="n">
        <x:v>1200</x:v>
      </x:c>
      <x:c r="E147" s="20" t="n">
        <x:v>675</x:v>
      </x:c>
      <x:c r="F147" s="46" t="str">
        <x:v>https://chistoufa.ru/upload/resize_cache/iblock/62b/360_203_140cd750bba9870f18aada2478b24840a/8pi9epe07axiy5sj0dzoy0jml3m0rocn.jpg</x:v>
      </x:c>
      <x:c r="G147" s="17" t="str">
        <x:v>JPEG</x:v>
      </x:c>
      <x:c r="H147" s="20" t="n">
        <x:v>24671</x:v>
      </x:c>
      <x:c r="I147" s="20" t="n">
        <x:v>360</x:v>
      </x:c>
      <x:c r="J147" s="20" t="n">
        <x:v>203</x:v>
      </x:c>
      <x:c r="K147" s="20" t="n">
        <x:f>C147-H147</x:f>
        <x:v>504904</x:v>
      </x:c>
      <x:c r="L147" s="44" t="n">
        <x:f>K147/C147</x:f>
        <x:v>0.9534135863664259</x:v>
      </x:c>
    </x:row>
    <x:row r="148" ht="88" customHeight="1">
      <x:c r="A148" s="47" t="str">
        <x:v>https://chistoufa.ru/upload/iblock/62b/8pi9epe07axiy5sj0dzoy0jml3m0rocn.jpg</x:v>
      </x:c>
      <x:c r="B148" s="3" t="str">
        <x:v>JPEG</x:v>
      </x:c>
      <x:c r="C148" s="21" t="n">
        <x:v>529575</x:v>
      </x:c>
      <x:c r="D148" s="21" t="n">
        <x:v>1200</x:v>
      </x:c>
      <x:c r="E148" s="21" t="n">
        <x:v>675</x:v>
      </x:c>
      <x:c r="F148" s="47" t="str">
        <x:v>https://chistoufa.ru/upload/resize_cache/iblock/62b/720_405_140cd750bba9870f18aada2478b24840a/8pi9epe07axiy5sj0dzoy0jml3m0rocn.jpg</x:v>
      </x:c>
      <x:c r="G148" s="3" t="str">
        <x:v>JPEG</x:v>
      </x:c>
      <x:c r="H148" s="21" t="n">
        <x:v>102057</x:v>
      </x:c>
      <x:c r="I148" s="21" t="n">
        <x:v>720</x:v>
      </x:c>
      <x:c r="J148" s="21" t="n">
        <x:v>405</x:v>
      </x:c>
      <x:c r="K148" s="21" t="n">
        <x:f>C148-H148</x:f>
        <x:v>427518</x:v>
      </x:c>
      <x:c r="L148" s="43" t="n">
        <x:f>K148/C148</x:f>
        <x:v>0.8072850870981447</x:v>
      </x:c>
    </x:row>
    <x:row r="149" ht="88" customHeight="1">
      <x:c r="A149" s="46" t="str">
        <x:v>https://chistoufa.ru/upload/iblock/55d/fho9hirx349skrgojohskr8hd2n80vzk.jpg</x:v>
      </x:c>
      <x:c r="B149" s="17" t="str">
        <x:v>JPEG</x:v>
      </x:c>
      <x:c r="C149" s="20" t="n">
        <x:v>345219</x:v>
      </x:c>
      <x:c r="D149" s="20" t="n">
        <x:v>1900</x:v>
      </x:c>
      <x:c r="E149" s="20" t="n">
        <x:v>1272</x:v>
      </x:c>
      <x:c r="F149" s="46" t="str">
        <x:v>https://chistoufa.ru/upload/resize_cache/iblock/55d/360_241_140cd750bba9870f18aada2478b24840a/fho9hirx349skrgojohskr8hd2n80vzk.jpg</x:v>
      </x:c>
      <x:c r="G149" s="17" t="str">
        <x:v>JPEG</x:v>
      </x:c>
      <x:c r="H149" s="20" t="n">
        <x:v>28520</x:v>
      </x:c>
      <x:c r="I149" s="20" t="n">
        <x:v>360</x:v>
      </x:c>
      <x:c r="J149" s="20" t="n">
        <x:v>241</x:v>
      </x:c>
      <x:c r="K149" s="20" t="n">
        <x:f>C149-H149</x:f>
        <x:v>316699</x:v>
      </x:c>
      <x:c r="L149" s="44" t="n">
        <x:f>K149/C149</x:f>
        <x:v>0.9173857754063363</x:v>
      </x:c>
    </x:row>
    <x:row r="150" ht="88" customHeight="1">
      <x:c r="A150" s="47" t="str">
        <x:v>https://chistoufa.ru/upload/iblock/55d/fho9hirx349skrgojohskr8hd2n80vzk.jpg</x:v>
      </x:c>
      <x:c r="B150" s="3" t="str">
        <x:v>JPEG</x:v>
      </x:c>
      <x:c r="C150" s="21" t="n">
        <x:v>345219</x:v>
      </x:c>
      <x:c r="D150" s="21" t="n">
        <x:v>1900</x:v>
      </x:c>
      <x:c r="E150" s="21" t="n">
        <x:v>1272</x:v>
      </x:c>
      <x:c r="F150" s="47" t="str">
        <x:v>https://chistoufa.ru/upload/resize_cache/iblock/55d/720_482_140cd750bba9870f18aada2478b24840a/fho9hirx349skrgojohskr8hd2n80vzk.jpg</x:v>
      </x:c>
      <x:c r="G150" s="3" t="str">
        <x:v>JPEG</x:v>
      </x:c>
      <x:c r="H150" s="21" t="n">
        <x:v>100367</x:v>
      </x:c>
      <x:c r="I150" s="21" t="n">
        <x:v>720</x:v>
      </x:c>
      <x:c r="J150" s="21" t="n">
        <x:v>482</x:v>
      </x:c>
      <x:c r="K150" s="21" t="n">
        <x:f>C150-H150</x:f>
        <x:v>244852</x:v>
      </x:c>
      <x:c r="L150" s="43" t="n">
        <x:f>K150/C150</x:f>
        <x:v>0.7092657124897529</x:v>
      </x:c>
    </x:row>
    <x:row r="151" ht="88" customHeight="1">
      <x:c r="A151" s="46" t="str">
        <x:v>https://chistoufa.ru/upload/iblock/55d/fho9hirx349skrgojohskr8hd2n80vzk.jpg</x:v>
      </x:c>
      <x:c r="B151" s="17" t="str">
        <x:v>JPEG</x:v>
      </x:c>
      <x:c r="C151" s="20" t="n">
        <x:v>345219</x:v>
      </x:c>
      <x:c r="D151" s="20" t="n">
        <x:v>1900</x:v>
      </x:c>
      <x:c r="E151" s="20" t="n">
        <x:v>1272</x:v>
      </x:c>
      <x:c r="F151" s="46" t="str">
        <x:v>https://chistoufa.ru/upload/resize_cache/iblock/55d/1200_803_140cd750bba9870f18aada2478b24840a/fho9hirx349skrgojohskr8hd2n80vzk.jpg</x:v>
      </x:c>
      <x:c r="G151" s="17" t="str">
        <x:v>JPEG</x:v>
      </x:c>
      <x:c r="H151" s="20" t="n">
        <x:v>245287</x:v>
      </x:c>
      <x:c r="I151" s="20" t="n">
        <x:v>1199</x:v>
      </x:c>
      <x:c r="J151" s="20" t="n">
        <x:v>803</x:v>
      </x:c>
      <x:c r="K151" s="20" t="n">
        <x:f>C151-H151</x:f>
        <x:v>99932</x:v>
      </x:c>
      <x:c r="L151" s="44" t="n">
        <x:f>K151/C151</x:f>
        <x:v>0.2894742178153578</x:v>
      </x:c>
    </x:row>
    <x:row r="152" ht="88" customHeight="1">
      <x:c r="A152" s="47" t="str">
        <x:v>https://chistoufa.ru/upload/iblock/9e0/qkf04x3jfvo4m56vq24hhwfkf05erl04.jpg</x:v>
      </x:c>
      <x:c r="B152" s="3" t="str">
        <x:v>JPEG</x:v>
      </x:c>
      <x:c r="C152" s="21" t="n">
        <x:v>535829</x:v>
      </x:c>
      <x:c r="D152" s="21" t="n">
        <x:v>1200</x:v>
      </x:c>
      <x:c r="E152" s="21" t="n">
        <x:v>749</x:v>
      </x:c>
      <x:c r="F152" s="47" t="str">
        <x:v>https://chistoufa.ru/upload/resize_cache/iblock/9e0/360_225_140cd750bba9870f18aada2478b24840a/qkf04x3jfvo4m56vq24hhwfkf05erl04.jpg</x:v>
      </x:c>
      <x:c r="G152" s="3" t="str">
        <x:v>JPEG</x:v>
      </x:c>
      <x:c r="H152" s="21" t="n">
        <x:v>34683</x:v>
      </x:c>
      <x:c r="I152" s="21" t="n">
        <x:v>360</x:v>
      </x:c>
      <x:c r="J152" s="21" t="n">
        <x:v>225</x:v>
      </x:c>
      <x:c r="K152" s="21" t="n">
        <x:f>C152-H152</x:f>
        <x:v>501146</x:v>
      </x:c>
      <x:c r="L152" s="43" t="n">
        <x:f>K152/C152</x:f>
        <x:v>0.9352722603666468</x:v>
      </x:c>
    </x:row>
    <x:row r="153" ht="88" customHeight="1">
      <x:c r="A153" s="46" t="str">
        <x:v>https://chistoufa.ru/upload/iblock/9e0/qkf04x3jfvo4m56vq24hhwfkf05erl04.jpg</x:v>
      </x:c>
      <x:c r="B153" s="17" t="str">
        <x:v>JPEG</x:v>
      </x:c>
      <x:c r="C153" s="20" t="n">
        <x:v>535829</x:v>
      </x:c>
      <x:c r="D153" s="20" t="n">
        <x:v>1200</x:v>
      </x:c>
      <x:c r="E153" s="20" t="n">
        <x:v>749</x:v>
      </x:c>
      <x:c r="F153" s="46" t="str">
        <x:v>https://chistoufa.ru/upload/resize_cache/iblock/9e0/720_449_140cd750bba9870f18aada2478b24840a/qkf04x3jfvo4m56vq24hhwfkf05erl04.jpg</x:v>
      </x:c>
      <x:c r="G153" s="17" t="str">
        <x:v>JPEG</x:v>
      </x:c>
      <x:c r="H153" s="20" t="n">
        <x:v>102573</x:v>
      </x:c>
      <x:c r="I153" s="20" t="n">
        <x:v>719</x:v>
      </x:c>
      <x:c r="J153" s="20" t="n">
        <x:v>449</x:v>
      </x:c>
      <x:c r="K153" s="20" t="n">
        <x:f>C153-H153</x:f>
        <x:v>433256</x:v>
      </x:c>
      <x:c r="L153" s="44" t="n">
        <x:f>K153/C153</x:f>
        <x:v>0.8085713912460878</x:v>
      </x:c>
    </x:row>
    <x:row r="154" ht="88" customHeight="1">
      <x:c r="A154" s="47" t="str">
        <x:v>https://chistoufa.ru/upload/iblock/bbf/4c1vty4xi1t4q75m1czm8czc8mqvgqsc.JPG</x:v>
      </x:c>
      <x:c r="B154" s="3" t="str">
        <x:v>JPEG</x:v>
      </x:c>
      <x:c r="C154" s="21" t="n">
        <x:v>237807</x:v>
      </x:c>
      <x:c r="D154" s="21" t="n">
        <x:v>1200</x:v>
      </x:c>
      <x:c r="E154" s="21" t="n">
        <x:v>675</x:v>
      </x:c>
      <x:c r="F154" s="47" t="str">
        <x:v>https://chistoufa.ru/upload/resize_cache/iblock/bbf/360_203_140cd750bba9870f18aada2478b24840a/4c1vty4xi1t4q75m1czm8czc8mqvgqsc.JPG</x:v>
      </x:c>
      <x:c r="G154" s="3" t="str">
        <x:v>JPEG</x:v>
      </x:c>
      <x:c r="H154" s="21" t="n">
        <x:v>16432</x:v>
      </x:c>
      <x:c r="I154" s="21" t="n">
        <x:v>360</x:v>
      </x:c>
      <x:c r="J154" s="21" t="n">
        <x:v>203</x:v>
      </x:c>
      <x:c r="K154" s="21" t="n">
        <x:f>C154-H154</x:f>
        <x:v>221375</x:v>
      </x:c>
      <x:c r="L154" s="43" t="n">
        <x:f>K154/C154</x:f>
        <x:v>0.9309019499005496</x:v>
      </x:c>
    </x:row>
    <x:row r="155" ht="88" customHeight="1">
      <x:c r="A155" s="46" t="str">
        <x:v>https://chistoufa.ru/upload/iblock/bbf/4c1vty4xi1t4q75m1czm8czc8mqvgqsc.JPG</x:v>
      </x:c>
      <x:c r="B155" s="17" t="str">
        <x:v>JPEG</x:v>
      </x:c>
      <x:c r="C155" s="20" t="n">
        <x:v>237807</x:v>
      </x:c>
      <x:c r="D155" s="20" t="n">
        <x:v>1200</x:v>
      </x:c>
      <x:c r="E155" s="20" t="n">
        <x:v>675</x:v>
      </x:c>
      <x:c r="F155" s="46" t="str">
        <x:v>https://chistoufa.ru/upload/resize_cache/iblock/bbf/720_405_140cd750bba9870f18aada2478b24840a/4c1vty4xi1t4q75m1czm8czc8mqvgqsc.JPG</x:v>
      </x:c>
      <x:c r="G155" s="17" t="str">
        <x:v>JPEG</x:v>
      </x:c>
      <x:c r="H155" s="20" t="n">
        <x:v>49295</x:v>
      </x:c>
      <x:c r="I155" s="20" t="n">
        <x:v>720</x:v>
      </x:c>
      <x:c r="J155" s="20" t="n">
        <x:v>405</x:v>
      </x:c>
      <x:c r="K155" s="20" t="n">
        <x:f>C155-H155</x:f>
        <x:v>188512</x:v>
      </x:c>
      <x:c r="L155" s="44" t="n">
        <x:f>K155/C155</x:f>
        <x:v>0.7927100547923316</x:v>
      </x:c>
    </x:row>
    <x:row r="156" ht="88" customHeight="1">
      <x:c r="A156" s="47" t="str">
        <x:v>https://chistoufa.ru/upload/iblock/863/jvhf43fm253ryqlhhnjgetv6cynp3wrz.jpg</x:v>
      </x:c>
      <x:c r="B156" s="3" t="str">
        <x:v>JPEG</x:v>
      </x:c>
      <x:c r="C156" s="21" t="n">
        <x:v>326308</x:v>
      </x:c>
      <x:c r="D156" s="21" t="n">
        <x:v>1200</x:v>
      </x:c>
      <x:c r="E156" s="21" t="n">
        <x:v>800</x:v>
      </x:c>
      <x:c r="F156" s="47" t="str">
        <x:v>https://chistoufa.ru/upload/resize_cache/iblock/863/360_240_140cd750bba9870f18aada2478b24840a/jvhf43fm253ryqlhhnjgetv6cynp3wrz.jpg</x:v>
      </x:c>
      <x:c r="G156" s="3" t="str">
        <x:v>JPEG</x:v>
      </x:c>
      <x:c r="H156" s="21" t="n">
        <x:v>22312</x:v>
      </x:c>
      <x:c r="I156" s="21" t="n">
        <x:v>360</x:v>
      </x:c>
      <x:c r="J156" s="21" t="n">
        <x:v>240</x:v>
      </x:c>
      <x:c r="K156" s="21" t="n">
        <x:f>C156-H156</x:f>
        <x:v>303996</x:v>
      </x:c>
      <x:c r="L156" s="43" t="n">
        <x:f>K156/C156</x:f>
        <x:v>0.9316228839010996</x:v>
      </x:c>
    </x:row>
    <x:row r="157" ht="88" customHeight="1">
      <x:c r="A157" s="46" t="str">
        <x:v>https://chistoufa.ru/upload/iblock/863/jvhf43fm253ryqlhhnjgetv6cynp3wrz.jpg</x:v>
      </x:c>
      <x:c r="B157" s="17" t="str">
        <x:v>JPEG</x:v>
      </x:c>
      <x:c r="C157" s="20" t="n">
        <x:v>326308</x:v>
      </x:c>
      <x:c r="D157" s="20" t="n">
        <x:v>1200</x:v>
      </x:c>
      <x:c r="E157" s="20" t="n">
        <x:v>800</x:v>
      </x:c>
      <x:c r="F157" s="46" t="str">
        <x:v>https://chistoufa.ru/upload/resize_cache/iblock/863/720_480_140cd750bba9870f18aada2478b24840a/jvhf43fm253ryqlhhnjgetv6cynp3wrz.jpg</x:v>
      </x:c>
      <x:c r="G157" s="17" t="str">
        <x:v>JPEG</x:v>
      </x:c>
      <x:c r="H157" s="20" t="n">
        <x:v>63051</x:v>
      </x:c>
      <x:c r="I157" s="20" t="n">
        <x:v>720</x:v>
      </x:c>
      <x:c r="J157" s="20" t="n">
        <x:v>480</x:v>
      </x:c>
      <x:c r="K157" s="20" t="n">
        <x:f>C157-H157</x:f>
        <x:v>263257</x:v>
      </x:c>
      <x:c r="L157" s="44" t="n">
        <x:f>K157/C157</x:f>
        <x:v>0.8067745810706449</x:v>
      </x:c>
    </x:row>
    <x:row r="158" ht="88" customHeight="1">
      <x:c r="A158" s="47" t="str">
        <x:v>https://chistoufa.ru/upload/iblock/f60/djet5texhyegebb8ml4ecl9dqzd3gp0g.jpg</x:v>
      </x:c>
      <x:c r="B158" s="3" t="str">
        <x:v>JPEG</x:v>
      </x:c>
      <x:c r="C158" s="21" t="n">
        <x:v>158253</x:v>
      </x:c>
      <x:c r="D158" s="21" t="n">
        <x:v>1200</x:v>
      </x:c>
      <x:c r="E158" s="21" t="n">
        <x:v>675</x:v>
      </x:c>
      <x:c r="F158" s="47" t="str">
        <x:v>https://chistoufa.ru/upload/resize_cache/iblock/f60/360_203_140cd750bba9870f18aada2478b24840a/djet5texhyegebb8ml4ecl9dqzd3gp0g.jpg</x:v>
      </x:c>
      <x:c r="G158" s="3" t="str">
        <x:v>JPEG</x:v>
      </x:c>
      <x:c r="H158" s="21" t="n">
        <x:v>9208</x:v>
      </x:c>
      <x:c r="I158" s="21" t="n">
        <x:v>360</x:v>
      </x:c>
      <x:c r="J158" s="21" t="n">
        <x:v>203</x:v>
      </x:c>
      <x:c r="K158" s="21" t="n">
        <x:f>C158-H158</x:f>
        <x:v>149045</x:v>
      </x:c>
      <x:c r="L158" s="43" t="n">
        <x:f>K158/C158</x:f>
        <x:v>0.9418146891370148</x:v>
      </x:c>
    </x:row>
    <x:row r="159" ht="88" customHeight="1">
      <x:c r="A159" s="46" t="str">
        <x:v>https://chistoufa.ru/upload/iblock/f60/djet5texhyegebb8ml4ecl9dqzd3gp0g.jpg</x:v>
      </x:c>
      <x:c r="B159" s="17" t="str">
        <x:v>JPEG</x:v>
      </x:c>
      <x:c r="C159" s="20" t="n">
        <x:v>158253</x:v>
      </x:c>
      <x:c r="D159" s="20" t="n">
        <x:v>1200</x:v>
      </x:c>
      <x:c r="E159" s="20" t="n">
        <x:v>675</x:v>
      </x:c>
      <x:c r="F159" s="46" t="str">
        <x:v>https://chistoufa.ru/upload/resize_cache/iblock/f60/720_405_140cd750bba9870f18aada2478b24840a/djet5texhyegebb8ml4ecl9dqzd3gp0g.jpg</x:v>
      </x:c>
      <x:c r="G159" s="17" t="str">
        <x:v>JPEG</x:v>
      </x:c>
      <x:c r="H159" s="20" t="n">
        <x:v>25964</x:v>
      </x:c>
      <x:c r="I159" s="20" t="n">
        <x:v>720</x:v>
      </x:c>
      <x:c r="J159" s="20" t="n">
        <x:v>405</x:v>
      </x:c>
      <x:c r="K159" s="20" t="n">
        <x:f>C159-H159</x:f>
        <x:v>132289</x:v>
      </x:c>
      <x:c r="L159" s="44" t="n">
        <x:f>K159/C159</x:f>
        <x:v>0.8359335999949448</x:v>
      </x:c>
    </x:row>
    <x:row r="160" ht="88" customHeight="1">
      <x:c r="A160" s="47" t="str">
        <x:v>https://chistoufa.ru/upload/iblock/4f0/o6213sp8h85dyg2xqmsj4pq5r199vg9m.jpeg</x:v>
      </x:c>
      <x:c r="B160" s="3" t="str">
        <x:v>JPEG</x:v>
      </x:c>
      <x:c r="C160" s="21" t="n">
        <x:v>284033</x:v>
      </x:c>
      <x:c r="D160" s="21" t="n">
        <x:v>1200</x:v>
      </x:c>
      <x:c r="E160" s="21" t="n">
        <x:v>800</x:v>
      </x:c>
      <x:c r="F160" s="47" t="str">
        <x:v>https://chistoufa.ru/upload/resize_cache/iblock/4f0/360_240_140cd750bba9870f18aada2478b24840a/o6213sp8h85dyg2xqmsj4pq5r199vg9m.jpeg</x:v>
      </x:c>
      <x:c r="G160" s="3" t="str">
        <x:v>JPEG</x:v>
      </x:c>
      <x:c r="H160" s="21" t="n">
        <x:v>15931</x:v>
      </x:c>
      <x:c r="I160" s="21" t="n">
        <x:v>360</x:v>
      </x:c>
      <x:c r="J160" s="21" t="n">
        <x:v>240</x:v>
      </x:c>
      <x:c r="K160" s="21" t="n">
        <x:f>C160-H160</x:f>
        <x:v>268102</x:v>
      </x:c>
      <x:c r="L160" s="43" t="n">
        <x:f>K160/C160</x:f>
        <x:v>0.943911446909338</x:v>
      </x:c>
    </x:row>
    <x:row r="161" ht="88" customHeight="1">
      <x:c r="A161" s="46" t="str">
        <x:v>https://chistoufa.ru/upload/iblock/4f0/o6213sp8h85dyg2xqmsj4pq5r199vg9m.jpeg</x:v>
      </x:c>
      <x:c r="B161" s="17" t="str">
        <x:v>JPEG</x:v>
      </x:c>
      <x:c r="C161" s="20" t="n">
        <x:v>284033</x:v>
      </x:c>
      <x:c r="D161" s="20" t="n">
        <x:v>1200</x:v>
      </x:c>
      <x:c r="E161" s="20" t="n">
        <x:v>800</x:v>
      </x:c>
      <x:c r="F161" s="46" t="str">
        <x:v>https://chistoufa.ru/upload/resize_cache/iblock/4f0/720_480_140cd750bba9870f18aada2478b24840a/o6213sp8h85dyg2xqmsj4pq5r199vg9m.jpeg</x:v>
      </x:c>
      <x:c r="G161" s="17" t="str">
        <x:v>JPEG</x:v>
      </x:c>
      <x:c r="H161" s="20" t="n">
        <x:v>48114</x:v>
      </x:c>
      <x:c r="I161" s="20" t="n">
        <x:v>720</x:v>
      </x:c>
      <x:c r="J161" s="20" t="n">
        <x:v>480</x:v>
      </x:c>
      <x:c r="K161" s="20" t="n">
        <x:f>C161-H161</x:f>
        <x:v>235919</x:v>
      </x:c>
      <x:c r="L161" s="44" t="n">
        <x:f>K161/C161</x:f>
        <x:v>0.8306041903581626</x:v>
      </x:c>
    </x:row>
    <x:row r="162" ht="88" customHeight="1">
      <x:c r="A162" s="47" t="str">
        <x:v>https://chistoufa.ru/upload/iblock/709/257pmye1ph5iux3gcfew4e7kx04k3b02.jpg</x:v>
      </x:c>
      <x:c r="B162" s="3" t="str">
        <x:v>JPEG</x:v>
      </x:c>
      <x:c r="C162" s="21" t="n">
        <x:v>217575</x:v>
      </x:c>
      <x:c r="D162" s="21" t="n">
        <x:v>720</x:v>
      </x:c>
      <x:c r="E162" s="21" t="n">
        <x:v>744</x:v>
      </x:c>
      <x:c r="F162" s="47" t="str">
        <x:v>https://chistoufa.ru/upload/resize_cache/iblock/709/360_372_140cd750bba9870f18aada2478b24840a/257pmye1ph5iux3gcfew4e7kx04k3b02.jpg</x:v>
      </x:c>
      <x:c r="G162" s="3" t="str">
        <x:v>JPEG</x:v>
      </x:c>
      <x:c r="H162" s="21" t="n">
        <x:v>57857</x:v>
      </x:c>
      <x:c r="I162" s="21" t="n">
        <x:v>360</x:v>
      </x:c>
      <x:c r="J162" s="21" t="n">
        <x:v>372</x:v>
      </x:c>
      <x:c r="K162" s="21" t="n">
        <x:f>C162-H162</x:f>
        <x:v>159718</x:v>
      </x:c>
      <x:c r="L162" s="43" t="n">
        <x:f>K162/C162</x:f>
        <x:v>0.7340825002872573</x:v>
      </x:c>
    </x:row>
    <x:row r="163" ht="88" customHeight="1">
      <x:c r="A163" s="46" t="str">
        <x:v>https://chistoufa.ru/upload/iblock/88d/vdnqlfcjahodf4p7fz86trcm75j2uhz3.jpg</x:v>
      </x:c>
      <x:c r="B163" s="17" t="str">
        <x:v>JPEG</x:v>
      </x:c>
      <x:c r="C163" s="20" t="n">
        <x:v>384065</x:v>
      </x:c>
      <x:c r="D163" s="20" t="n">
        <x:v>1200</x:v>
      </x:c>
      <x:c r="E163" s="20" t="n">
        <x:v>675</x:v>
      </x:c>
      <x:c r="F163" s="46" t="str">
        <x:v>https://chistoufa.ru/upload/resize_cache/iblock/88d/360_203_140cd750bba9870f18aada2478b24840a/vdnqlfcjahodf4p7fz86trcm75j2uhz3.jpg</x:v>
      </x:c>
      <x:c r="G163" s="17" t="str">
        <x:v>JPEG</x:v>
      </x:c>
      <x:c r="H163" s="20" t="n">
        <x:v>27929</x:v>
      </x:c>
      <x:c r="I163" s="20" t="n">
        <x:v>360</x:v>
      </x:c>
      <x:c r="J163" s="20" t="n">
        <x:v>203</x:v>
      </x:c>
      <x:c r="K163" s="20" t="n">
        <x:f>C163-H163</x:f>
        <x:v>356136</x:v>
      </x:c>
      <x:c r="L163" s="44" t="n">
        <x:f>K163/C163</x:f>
        <x:v>0.9272805384505227</x:v>
      </x:c>
    </x:row>
    <x:row r="164" ht="88" customHeight="1">
      <x:c r="A164" s="47" t="str">
        <x:v>https://chistoufa.ru/upload/iblock/88d/vdnqlfcjahodf4p7fz86trcm75j2uhz3.jpg</x:v>
      </x:c>
      <x:c r="B164" s="3" t="str">
        <x:v>JPEG</x:v>
      </x:c>
      <x:c r="C164" s="21" t="n">
        <x:v>384065</x:v>
      </x:c>
      <x:c r="D164" s="21" t="n">
        <x:v>1200</x:v>
      </x:c>
      <x:c r="E164" s="21" t="n">
        <x:v>675</x:v>
      </x:c>
      <x:c r="F164" s="47" t="str">
        <x:v>https://chistoufa.ru/upload/resize_cache/iblock/88d/720_405_140cd750bba9870f18aada2478b24840a/vdnqlfcjahodf4p7fz86trcm75j2uhz3.jpg</x:v>
      </x:c>
      <x:c r="G164" s="3" t="str">
        <x:v>JPEG</x:v>
      </x:c>
      <x:c r="H164" s="21" t="n">
        <x:v>79715</x:v>
      </x:c>
      <x:c r="I164" s="21" t="n">
        <x:v>720</x:v>
      </x:c>
      <x:c r="J164" s="21" t="n">
        <x:v>405</x:v>
      </x:c>
      <x:c r="K164" s="21" t="n">
        <x:f>C164-H164</x:f>
        <x:v>304350</x:v>
      </x:c>
      <x:c r="L164" s="43" t="n">
        <x:f>K164/C164</x:f>
        <x:v>0.7924439873458919</x:v>
      </x:c>
    </x:row>
    <x:row r="165" ht="88" customHeight="1">
      <x:c r="A165" s="46" t="str">
        <x:v>https://chistoufa.ru/upload/iblock/8dc/8j13kdb27d27rrqmu2yfshoytif2cllh.jpg</x:v>
      </x:c>
      <x:c r="B165" s="17" t="str">
        <x:v>JPEG</x:v>
      </x:c>
      <x:c r="C165" s="20" t="n">
        <x:v>218072</x:v>
      </x:c>
      <x:c r="D165" s="20" t="n">
        <x:v>1930</x:v>
      </x:c>
      <x:c r="E165" s="20" t="n">
        <x:v>1134</x:v>
      </x:c>
      <x:c r="F165" s="46" t="str">
        <x:v>https://chistoufa.ru/upload/resize_cache/iblock/8dc/360_212_140cd750bba9870f18aada2478b24840a/8j13kdb27d27rrqmu2yfshoytif2cllh.jpg</x:v>
      </x:c>
      <x:c r="G165" s="17" t="str">
        <x:v>JPEG</x:v>
      </x:c>
      <x:c r="H165" s="20" t="n">
        <x:v>19183</x:v>
      </x:c>
      <x:c r="I165" s="20" t="n">
        <x:v>360</x:v>
      </x:c>
      <x:c r="J165" s="20" t="n">
        <x:v>212</x:v>
      </x:c>
      <x:c r="K165" s="20" t="n">
        <x:f>C165-H165</x:f>
        <x:v>198889</x:v>
      </x:c>
      <x:c r="L165" s="44" t="n">
        <x:f>K165/C165</x:f>
        <x:v>0.9120336402656003</x:v>
      </x:c>
    </x:row>
    <x:row r="166" ht="88" customHeight="1">
      <x:c r="A166" s="47" t="str">
        <x:v>https://chistoufa.ru/upload/iblock/8dc/8j13kdb27d27rrqmu2yfshoytif2cllh.jpg</x:v>
      </x:c>
      <x:c r="B166" s="3" t="str">
        <x:v>JPEG</x:v>
      </x:c>
      <x:c r="C166" s="21" t="n">
        <x:v>218072</x:v>
      </x:c>
      <x:c r="D166" s="21" t="n">
        <x:v>1930</x:v>
      </x:c>
      <x:c r="E166" s="21" t="n">
        <x:v>1134</x:v>
      </x:c>
      <x:c r="F166" s="47" t="str">
        <x:v>https://chistoufa.ru/upload/resize_cache/iblock/8dc/720_423_140cd750bba9870f18aada2478b24840a/8j13kdb27d27rrqmu2yfshoytif2cllh.jpg</x:v>
      </x:c>
      <x:c r="G166" s="3" t="str">
        <x:v>JPEG</x:v>
      </x:c>
      <x:c r="H166" s="21" t="n">
        <x:v>62046</x:v>
      </x:c>
      <x:c r="I166" s="21" t="n">
        <x:v>720</x:v>
      </x:c>
      <x:c r="J166" s="21" t="n">
        <x:v>423</x:v>
      </x:c>
      <x:c r="K166" s="21" t="n">
        <x:f>C166-H166</x:f>
        <x:v>156026</x:v>
      </x:c>
      <x:c r="L166" s="43" t="n">
        <x:f>K166/C166</x:f>
        <x:v>0.7154792912432592</x:v>
      </x:c>
    </x:row>
    <x:row r="167" ht="88" customHeight="1">
      <x:c r="A167" s="46" t="str">
        <x:v>https://chistoufa.ru/upload/iblock/8dc/8j13kdb27d27rrqmu2yfshoytif2cllh.jpg</x:v>
      </x:c>
      <x:c r="B167" s="17" t="str">
        <x:v>JPEG</x:v>
      </x:c>
      <x:c r="C167" s="20" t="n">
        <x:v>218072</x:v>
      </x:c>
      <x:c r="D167" s="20" t="n">
        <x:v>1930</x:v>
      </x:c>
      <x:c r="E167" s="20" t="n">
        <x:v>1134</x:v>
      </x:c>
      <x:c r="F167" s="46" t="str">
        <x:v>https://chistoufa.ru/upload/resize_cache/iblock/8dc/1200_705_140cd750bba9870f18aada2478b24840a/8j13kdb27d27rrqmu2yfshoytif2cllh.jpg</x:v>
      </x:c>
      <x:c r="G167" s="17" t="str">
        <x:v>JPEG</x:v>
      </x:c>
      <x:c r="H167" s="20" t="n">
        <x:v>148005</x:v>
      </x:c>
      <x:c r="I167" s="20" t="n">
        <x:v>1200</x:v>
      </x:c>
      <x:c r="J167" s="20" t="n">
        <x:v>705</x:v>
      </x:c>
      <x:c r="K167" s="20" t="n">
        <x:f>C167-H167</x:f>
        <x:v>70067</x:v>
      </x:c>
      <x:c r="L167" s="44" t="n">
        <x:f>K167/C167</x:f>
        <x:v>0.3213021387431674</x:v>
      </x:c>
    </x:row>
    <x:row r="168" ht="88" customHeight="1">
      <x:c r="A168" s="47" t="str">
        <x:v>https://chistoufa.ru/local/templates/main/img/net-foto.jpg</x:v>
      </x:c>
      <x:c r="B168" s="3" t="str">
        <x:v>JPEG</x:v>
      </x:c>
      <x:c r="C168" s="21" t="n">
        <x:v>33578</x:v>
      </x:c>
      <x:c r="D168" s="21" t="n">
        <x:v>604</x:v>
      </x:c>
      <x:c r="E168" s="21" t="n">
        <x:v>604</x:v>
      </x:c>
      <x:c r="F168" s="47" t="str">
        <x:v>https://chistoufa.ru/upload/resize_cache/cg-performance-static/9c224ee0e4b2d0ef48a9e705/360_360_140cd750bba9870f18aada2478b24840a/net-foto.jpg</x:v>
      </x:c>
      <x:c r="G168" s="3" t="str">
        <x:v>JPEG</x:v>
      </x:c>
      <x:c r="H168" s="21" t="n">
        <x:v>6901</x:v>
      </x:c>
      <x:c r="I168" s="21" t="n">
        <x:v>360</x:v>
      </x:c>
      <x:c r="J168" s="21" t="n">
        <x:v>360</x:v>
      </x:c>
      <x:c r="K168" s="21" t="n">
        <x:f>C168-H168</x:f>
        <x:v>26677</x:v>
      </x:c>
      <x:c r="L168" s="43" t="n">
        <x:f>K168/C168</x:f>
        <x:v>0.7944785276073619</x:v>
      </x:c>
    </x:row>
    <x:row r="169" ht="88" customHeight="1">
      <x:c r="A169" s="46" t="str">
        <x:v>https://chistoufa.ru/upload/iblock/6ed/aj8s4dx09ua5okf2uvfw5ggfxdwsd0w7.jpg</x:v>
      </x:c>
      <x:c r="B169" s="17" t="str">
        <x:v>JPEG</x:v>
      </x:c>
      <x:c r="C169" s="20" t="n">
        <x:v>130120</x:v>
      </x:c>
      <x:c r="D169" s="20" t="n">
        <x:v>1200</x:v>
      </x:c>
      <x:c r="E169" s="20" t="n">
        <x:v>675</x:v>
      </x:c>
      <x:c r="F169" s="46" t="str">
        <x:v>https://chistoufa.ru/upload/resize_cache/iblock/6ed/360_203_140cd750bba9870f18aada2478b24840a/aj8s4dx09ua5okf2uvfw5ggfxdwsd0w7.jpg</x:v>
      </x:c>
      <x:c r="G169" s="17" t="str">
        <x:v>JPEG</x:v>
      </x:c>
      <x:c r="H169" s="20" t="n">
        <x:v>8187</x:v>
      </x:c>
      <x:c r="I169" s="20" t="n">
        <x:v>360</x:v>
      </x:c>
      <x:c r="J169" s="20" t="n">
        <x:v>203</x:v>
      </x:c>
      <x:c r="K169" s="20" t="n">
        <x:f>C169-H169</x:f>
        <x:v>121933</x:v>
      </x:c>
      <x:c r="L169" s="44" t="n">
        <x:f>K169/C169</x:f>
        <x:v>0.9370811558561328</x:v>
      </x:c>
    </x:row>
    <x:row r="170" ht="88" customHeight="1">
      <x:c r="A170" s="47" t="str">
        <x:v>https://chistoufa.ru/upload/iblock/6ed/aj8s4dx09ua5okf2uvfw5ggfxdwsd0w7.jpg</x:v>
      </x:c>
      <x:c r="B170" s="3" t="str">
        <x:v>JPEG</x:v>
      </x:c>
      <x:c r="C170" s="21" t="n">
        <x:v>130120</x:v>
      </x:c>
      <x:c r="D170" s="21" t="n">
        <x:v>1200</x:v>
      </x:c>
      <x:c r="E170" s="21" t="n">
        <x:v>675</x:v>
      </x:c>
      <x:c r="F170" s="47" t="str">
        <x:v>https://chistoufa.ru/upload/resize_cache/iblock/6ed/720_405_140cd750bba9870f18aada2478b24840a/aj8s4dx09ua5okf2uvfw5ggfxdwsd0w7.jpg</x:v>
      </x:c>
      <x:c r="G170" s="3" t="str">
        <x:v>JPEG</x:v>
      </x:c>
      <x:c r="H170" s="21" t="n">
        <x:v>22683</x:v>
      </x:c>
      <x:c r="I170" s="21" t="n">
        <x:v>720</x:v>
      </x:c>
      <x:c r="J170" s="21" t="n">
        <x:v>405</x:v>
      </x:c>
      <x:c r="K170" s="21" t="n">
        <x:f>C170-H170</x:f>
        <x:v>107437</x:v>
      </x:c>
      <x:c r="L170" s="43" t="n">
        <x:f>K170/C170</x:f>
        <x:v>0.8256762988011067</x:v>
      </x:c>
    </x:row>
    <x:row r="171" ht="88" customHeight="1">
      <x:c r="A171" s="46" t="str">
        <x:v>https://chistoufa.ru/upload/iblock/be1/6mgxmub2i2j8s5e7kkwx1owyxrd1kvpw.jpg</x:v>
      </x:c>
      <x:c r="B171" s="17" t="str">
        <x:v>JPEG</x:v>
      </x:c>
      <x:c r="C171" s="20" t="n">
        <x:v>219800</x:v>
      </x:c>
      <x:c r="D171" s="20" t="n">
        <x:v>1200</x:v>
      </x:c>
      <x:c r="E171" s="20" t="n">
        <x:v>675</x:v>
      </x:c>
      <x:c r="F171" s="46" t="str">
        <x:v>https://chistoufa.ru/upload/resize_cache/iblock/be1/360_203_140cd750bba9870f18aada2478b24840a/6mgxmub2i2j8s5e7kkwx1owyxrd1kvpw.jpg</x:v>
      </x:c>
      <x:c r="G171" s="17" t="str">
        <x:v>JPEG</x:v>
      </x:c>
      <x:c r="H171" s="20" t="n">
        <x:v>16917</x:v>
      </x:c>
      <x:c r="I171" s="20" t="n">
        <x:v>360</x:v>
      </x:c>
      <x:c r="J171" s="20" t="n">
        <x:v>203</x:v>
      </x:c>
      <x:c r="K171" s="20" t="n">
        <x:f>C171-H171</x:f>
        <x:v>202883</x:v>
      </x:c>
      <x:c r="L171" s="44" t="n">
        <x:f>K171/C171</x:f>
        <x:v>0.9230345768880801</x:v>
      </x:c>
    </x:row>
    <x:row r="172" ht="88" customHeight="1">
      <x:c r="A172" s="47" t="str">
        <x:v>https://chistoufa.ru/upload/iblock/be1/6mgxmub2i2j8s5e7kkwx1owyxrd1kvpw.jpg</x:v>
      </x:c>
      <x:c r="B172" s="3" t="str">
        <x:v>JPEG</x:v>
      </x:c>
      <x:c r="C172" s="21" t="n">
        <x:v>219800</x:v>
      </x:c>
      <x:c r="D172" s="21" t="n">
        <x:v>1200</x:v>
      </x:c>
      <x:c r="E172" s="21" t="n">
        <x:v>675</x:v>
      </x:c>
      <x:c r="F172" s="47" t="str">
        <x:v>https://chistoufa.ru/upload/resize_cache/iblock/be1/720_405_140cd750bba9870f18aada2478b24840a/6mgxmub2i2j8s5e7kkwx1owyxrd1kvpw.jpg</x:v>
      </x:c>
      <x:c r="G172" s="3" t="str">
        <x:v>JPEG</x:v>
      </x:c>
      <x:c r="H172" s="21" t="n">
        <x:v>44143</x:v>
      </x:c>
      <x:c r="I172" s="21" t="n">
        <x:v>720</x:v>
      </x:c>
      <x:c r="J172" s="21" t="n">
        <x:v>405</x:v>
      </x:c>
      <x:c r="K172" s="21" t="n">
        <x:f>C172-H172</x:f>
        <x:v>175657</x:v>
      </x:c>
      <x:c r="L172" s="43" t="n">
        <x:f>K172/C172</x:f>
        <x:v>0.7991674249317562</x:v>
      </x:c>
    </x:row>
    <x:row r="173" ht="88" customHeight="1">
      <x:c r="A173" s="46" t="str">
        <x:v>https://chistoufa.ru/upload/iblock/78a/vheji08uyttnq3rc40xwv9tza2bdbuho.jpg</x:v>
      </x:c>
      <x:c r="B173" s="17" t="str">
        <x:v>JPEG</x:v>
      </x:c>
      <x:c r="C173" s="20" t="n">
        <x:v>405816</x:v>
      </x:c>
      <x:c r="D173" s="20" t="n">
        <x:v>1200</x:v>
      </x:c>
      <x:c r="E173" s="20" t="n">
        <x:v>989</x:v>
      </x:c>
      <x:c r="F173" s="46" t="str">
        <x:v>https://chistoufa.ru/upload/resize_cache/iblock/78a/360_297_140cd750bba9870f18aada2478b24840a/vheji08uyttnq3rc40xwv9tza2bdbuho.jpg</x:v>
      </x:c>
      <x:c r="G173" s="17" t="str">
        <x:v>JPEG</x:v>
      </x:c>
      <x:c r="H173" s="20" t="n">
        <x:v>30325</x:v>
      </x:c>
      <x:c r="I173" s="20" t="n">
        <x:v>360</x:v>
      </x:c>
      <x:c r="J173" s="20" t="n">
        <x:v>297</x:v>
      </x:c>
      <x:c r="K173" s="20" t="n">
        <x:f>C173-H173</x:f>
        <x:v>375491</x:v>
      </x:c>
      <x:c r="L173" s="44" t="n">
        <x:f>K173/C173</x:f>
        <x:v>0.9252740158101208</x:v>
      </x:c>
    </x:row>
    <x:row r="174" ht="88" customHeight="1">
      <x:c r="A174" s="47" t="str">
        <x:v>https://chistoufa.ru/upload/iblock/78a/vheji08uyttnq3rc40xwv9tza2bdbuho.jpg</x:v>
      </x:c>
      <x:c r="B174" s="3" t="str">
        <x:v>JPEG</x:v>
      </x:c>
      <x:c r="C174" s="21" t="n">
        <x:v>405816</x:v>
      </x:c>
      <x:c r="D174" s="21" t="n">
        <x:v>1200</x:v>
      </x:c>
      <x:c r="E174" s="21" t="n">
        <x:v>989</x:v>
      </x:c>
      <x:c r="F174" s="47" t="str">
        <x:v>https://chistoufa.ru/upload/resize_cache/iblock/78a/720_593_140cd750bba9870f18aada2478b24840a/vheji08uyttnq3rc40xwv9tza2bdbuho.jpg</x:v>
      </x:c>
      <x:c r="G174" s="3" t="str">
        <x:v>JPEG</x:v>
      </x:c>
      <x:c r="H174" s="21" t="n">
        <x:v>90917</x:v>
      </x:c>
      <x:c r="I174" s="21" t="n">
        <x:v>720</x:v>
      </x:c>
      <x:c r="J174" s="21" t="n">
        <x:v>593</x:v>
      </x:c>
      <x:c r="K174" s="21" t="n">
        <x:f>C174-H174</x:f>
        <x:v>314899</x:v>
      </x:c>
      <x:c r="L174" s="43" t="n">
        <x:f>K174/C174</x:f>
        <x:v>0.7759649693457134</x:v>
      </x:c>
    </x:row>
    <x:row r="175" ht="88" customHeight="1">
      <x:c r="A175" s="46" t="str">
        <x:v>https://chistoufa.ru/upload/iblock/992/om8jqytuxklld5zi0jz1lmavd7tnuh7k.jpg</x:v>
      </x:c>
      <x:c r="B175" s="17" t="str">
        <x:v>JPEG</x:v>
      </x:c>
      <x:c r="C175" s="20" t="n">
        <x:v>270682</x:v>
      </x:c>
      <x:c r="D175" s="20" t="n">
        <x:v>1200</x:v>
      </x:c>
      <x:c r="E175" s="20" t="n">
        <x:v>675</x:v>
      </x:c>
      <x:c r="F175" s="46" t="str">
        <x:v>https://chistoufa.ru/upload/resize_cache/iblock/992/360_203_140cd750bba9870f18aada2478b24840a/om8jqytuxklld5zi0jz1lmavd7tnuh7k.jpg</x:v>
      </x:c>
      <x:c r="G175" s="17" t="str">
        <x:v>JPEG</x:v>
      </x:c>
      <x:c r="H175" s="20" t="n">
        <x:v>20170</x:v>
      </x:c>
      <x:c r="I175" s="20" t="n">
        <x:v>360</x:v>
      </x:c>
      <x:c r="J175" s="20" t="n">
        <x:v>203</x:v>
      </x:c>
      <x:c r="K175" s="20" t="n">
        <x:f>C175-H175</x:f>
        <x:v>250512</x:v>
      </x:c>
      <x:c r="L175" s="44" t="n">
        <x:f>K175/C175</x:f>
        <x:v>0.9254845168869744</x:v>
      </x:c>
    </x:row>
    <x:row r="176" ht="88" customHeight="1">
      <x:c r="A176" s="47" t="str">
        <x:v>https://chistoufa.ru/upload/iblock/992/om8jqytuxklld5zi0jz1lmavd7tnuh7k.jpg</x:v>
      </x:c>
      <x:c r="B176" s="3" t="str">
        <x:v>JPEG</x:v>
      </x:c>
      <x:c r="C176" s="21" t="n">
        <x:v>270682</x:v>
      </x:c>
      <x:c r="D176" s="21" t="n">
        <x:v>1200</x:v>
      </x:c>
      <x:c r="E176" s="21" t="n">
        <x:v>675</x:v>
      </x:c>
      <x:c r="F176" s="47" t="str">
        <x:v>https://chistoufa.ru/upload/resize_cache/iblock/992/720_405_140cd750bba9870f18aada2478b24840a/om8jqytuxklld5zi0jz1lmavd7tnuh7k.jpg</x:v>
      </x:c>
      <x:c r="G176" s="3" t="str">
        <x:v>JPEG</x:v>
      </x:c>
      <x:c r="H176" s="21" t="n">
        <x:v>56528</x:v>
      </x:c>
      <x:c r="I176" s="21" t="n">
        <x:v>720</x:v>
      </x:c>
      <x:c r="J176" s="21" t="n">
        <x:v>405</x:v>
      </x:c>
      <x:c r="K176" s="21" t="n">
        <x:f>C176-H176</x:f>
        <x:v>214154</x:v>
      </x:c>
      <x:c r="L176" s="43" t="n">
        <x:f>K176/C176</x:f>
        <x:v>0.7911645399398556</x:v>
      </x:c>
    </x:row>
    <x:row r="177" ht="88" customHeight="1">
      <x:c r="A177" s="46" t="str">
        <x:v>https://chistoufa.ru/local/templates/main/img/0834ace3a77c189e0fb2e1f58169d1a6%20(1).jpg</x:v>
      </x:c>
      <x:c r="B177" s="17" t="str">
        <x:v>JPEG</x:v>
      </x:c>
      <x:c r="C177" s="20" t="n">
        <x:v>81052</x:v>
      </x:c>
      <x:c r="D177" s="20" t="n">
        <x:v>1500</x:v>
      </x:c>
      <x:c r="E177" s="20" t="n">
        <x:v>998</x:v>
      </x:c>
      <x:c r="F177" s="46" t="str">
        <x:v>https://chistoufa.ru/upload/resize_cache/cg-performance-static/c7fab3c8456d5607072e0516/360_240_140cd750bba9870f18aada2478b24840a/0834ace3a77c189e0fb2e1f58169d1a6%20(1).jpg</x:v>
      </x:c>
      <x:c r="G177" s="17" t="str">
        <x:v>JPEG</x:v>
      </x:c>
      <x:c r="H177" s="20" t="n">
        <x:v>14856</x:v>
      </x:c>
      <x:c r="I177" s="20" t="n">
        <x:v>360</x:v>
      </x:c>
      <x:c r="J177" s="20" t="n">
        <x:v>240</x:v>
      </x:c>
      <x:c r="K177" s="20" t="n">
        <x:f>C177-H177</x:f>
        <x:v>66196</x:v>
      </x:c>
      <x:c r="L177" s="44" t="n">
        <x:f>K177/C177</x:f>
        <x:v>0.8167102600799486</x:v>
      </x:c>
    </x:row>
    <x:row r="178" ht="88" customHeight="1">
      <x:c r="A178" s="47" t="str">
        <x:v>https://chistoufa.ru/local/templates/main/img/0834ace3a77c189e0fb2e1f58169d1a6%20(1).jpg</x:v>
      </x:c>
      <x:c r="B178" s="3" t="str">
        <x:v>JPEG</x:v>
      </x:c>
      <x:c r="C178" s="21" t="n">
        <x:v>81052</x:v>
      </x:c>
      <x:c r="D178" s="21" t="n">
        <x:v>1500</x:v>
      </x:c>
      <x:c r="E178" s="21" t="n">
        <x:v>998</x:v>
      </x:c>
      <x:c r="F178" s="47" t="str">
        <x:v>https://chistoufa.ru/upload/resize_cache/cg-performance-static/c7fab3c8456d5607072e0516/720_479_140cd750bba9870f18aada2478b24840a/0834ace3a77c189e0fb2e1f58169d1a6%20(1).jpg</x:v>
      </x:c>
      <x:c r="G178" s="3" t="str">
        <x:v>JPEG</x:v>
      </x:c>
      <x:c r="H178" s="21" t="n">
        <x:v>40398</x:v>
      </x:c>
      <x:c r="I178" s="21" t="n">
        <x:v>720</x:v>
      </x:c>
      <x:c r="J178" s="21" t="n">
        <x:v>479</x:v>
      </x:c>
      <x:c r="K178" s="21" t="n">
        <x:f>C178-H178</x:f>
        <x:v>40654</x:v>
      </x:c>
      <x:c r="L178" s="43" t="n">
        <x:f>K178/C178</x:f>
        <x:v>0.5015792330849331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17" hidden="0" customWidth="1"/>
    <x:col min="3" max="3" width="30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8" hidden="0" customWidth="1"/>
    <x:col min="12" max="12" width="18" hidden="0" customWidth="1"/>
  </x:cols>
  <x:sheetData>
    <x:row r="1" ht="31" customHeight="1">
      <x:c r="A1" s="5" t="str">
        <x:v>Сравнение страниц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Три повтора на строку. Отрицательное изменение означает снижение.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4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44" customHeight="1">
      <x:c r="A6" s="14" t="str">
        <x:v>Страница</x:v>
      </x:c>
      <x:c r="B6" s="15" t="str">
        <x:v>Устройство</x:v>
      </x:c>
      <x:c r="C6" s="15" t="str">
        <x:v>Показатель</x:v>
      </x:c>
      <x:c r="D6" s="15" t="str">
        <x:v>Единица</x:v>
      </x:c>
      <x:c r="E6" s="15" t="str">
        <x:v>Медиана до</x:v>
      </x:c>
      <x:c r="F6" s="15" t="str">
        <x:v>Минимум до</x:v>
      </x:c>
      <x:c r="G6" s="15" t="str">
        <x:v>Максимум до</x:v>
      </x:c>
      <x:c r="H6" s="15" t="str">
        <x:v>Медиана после</x:v>
      </x:c>
      <x:c r="I6" s="15" t="str">
        <x:v>Минимум после</x:v>
      </x:c>
      <x:c r="J6" s="15" t="str">
        <x:v>Максимум после</x:v>
      </x:c>
      <x:c r="K6" s="15" t="str">
        <x:v>После − до</x:v>
      </x:c>
      <x:c r="L6" s="16" t="str">
        <x:v>Изменение, %</x:v>
      </x:c>
    </x:row>
    <x:row r="7" ht="43" customHeight="1">
      <x:c r="A7" s="34" t="str">
        <x:v>Главная</x:v>
      </x:c>
      <x:c r="B7" s="34" t="str">
        <x:v>Телефон</x:v>
      </x:c>
      <x:c r="C7" s="34" t="str">
        <x:v>Lighthouse</x:v>
      </x:c>
      <x:c r="D7" s="34" t="str">
        <x:v>баллы</x:v>
      </x:c>
      <x:c r="E7" s="35" t="n">
        <x:f>MEDIAN('Прогоны'!F7:F9)</x:f>
        <x:v>45</x:v>
      </x:c>
      <x:c r="F7" s="35" t="n">
        <x:f>MIN('Прогоны'!F7:F9)</x:f>
        <x:v>42</x:v>
      </x:c>
      <x:c r="G7" s="35" t="n">
        <x:f>MAX('Прогоны'!F7:F9)</x:f>
        <x:v>51</x:v>
      </x:c>
      <x:c r="H7" s="35" t="n">
        <x:f>MEDIAN('Прогоны'!F25:F27)</x:f>
        <x:v>78</x:v>
      </x:c>
      <x:c r="I7" s="35" t="n">
        <x:f>MIN('Прогоны'!F25:F27)</x:f>
        <x:v>75</x:v>
      </x:c>
      <x:c r="J7" s="35" t="n">
        <x:f>MAX('Прогоны'!F25:F27)</x:f>
        <x:v>79</x:v>
      </x:c>
      <x:c r="K7" s="35" t="n">
        <x:f>H7-E7</x:f>
        <x:v>33</x:v>
      </x:c>
      <x:c r="L7" s="42" t="n">
        <x:f>IF(E7=0,"",K7/E7)</x:f>
        <x:v>0.7333333333333333</x:v>
      </x:c>
    </x:row>
    <x:row r="8" ht="43" customHeight="1">
      <x:c r="A8" s="3" t="str">
        <x:v>Главная</x:v>
      </x:c>
      <x:c r="B8" s="3" t="str">
        <x:v>Телефон</x:v>
      </x:c>
      <x:c r="C8" s="3" t="str">
        <x:v>Первый видимый контент, FCP</x:v>
      </x:c>
      <x:c r="D8" s="3" t="str">
        <x:v>с</x:v>
      </x:c>
      <x:c r="E8" s="29" t="n">
        <x:f>MEDIAN('Прогоны'!G7:G9)</x:f>
        <x:v>4.8235296000000005</x:v>
      </x:c>
      <x:c r="F8" s="29" t="n">
        <x:f>MIN('Прогоны'!G7:G9)</x:f>
        <x:v>4.506159299999999</x:v>
      </x:c>
      <x:c r="G8" s="29" t="n">
        <x:f>MAX('Прогоны'!G7:G9)</x:f>
        <x:v>11.312766674999999</x:v>
      </x:c>
      <x:c r="H8" s="29" t="n">
        <x:f>MEDIAN('Прогоны'!G25:G27)</x:f>
        <x:v>3.4758397099999994</x:v>
      </x:c>
      <x:c r="I8" s="29" t="n">
        <x:f>MIN('Прогоны'!G25:G27)</x:f>
        <x:v>3.3789251</x:v>
      </x:c>
      <x:c r="J8" s="29" t="n">
        <x:f>MAX('Прогоны'!G25:G27)</x:f>
        <x:v>3.49942887</x:v>
      </x:c>
      <x:c r="K8" s="29" t="n">
        <x:f>H8-E8</x:f>
        <x:v>-1.3476898900000012</x:v>
      </x:c>
      <x:c r="L8" s="43" t="n">
        <x:f>IF(E8=0,"",K8/E8)</x:f>
        <x:v>-0.27939911263320555</x:v>
      </x:c>
    </x:row>
    <x:row r="9" ht="43" customHeight="1">
      <x:c r="A9" s="17" t="str">
        <x:v>Главная</x:v>
      </x:c>
      <x:c r="B9" s="17" t="str">
        <x:v>Телефон</x:v>
      </x:c>
      <x:c r="C9" s="17" t="str">
        <x:v>Главный элемент, LCP</x:v>
      </x:c>
      <x:c r="D9" s="17" t="str">
        <x:v>с</x:v>
      </x:c>
      <x:c r="E9" s="28" t="n">
        <x:f>MEDIAN('Прогоны'!H7:H9)</x:f>
        <x:v>17.5322645</x:v>
      </x:c>
      <x:c r="F9" s="28" t="n">
        <x:f>MIN('Прогоны'!H7:H9)</x:f>
        <x:v>13.801470849999998</x:v>
      </x:c>
      <x:c r="G9" s="28" t="n">
        <x:f>MAX('Прогоны'!H7:H9)</x:f>
        <x:v>23.69751914591064</x:v>
      </x:c>
      <x:c r="H9" s="28" t="n">
        <x:f>MEDIAN('Прогоны'!H25:H27)</x:f>
        <x:v>3.4994288700000005</x:v>
      </x:c>
      <x:c r="I9" s="28" t="n">
        <x:f>MIN('Прогоны'!H25:H27)</x:f>
        <x:v>3.3789251000000005</x:v>
      </x:c>
      <x:c r="J9" s="28" t="n">
        <x:f>MAX('Прогоны'!H25:H27)</x:f>
        <x:v>3.8846642399999993</x:v>
      </x:c>
      <x:c r="K9" s="28" t="n">
        <x:f>H9-E9</x:f>
        <x:v>-14.03283563</x:v>
      </x:c>
      <x:c r="L9" s="44" t="n">
        <x:f>IF(E9=0,"",K9/E9)</x:f>
        <x:v>-0.8004006344987551</x:v>
      </x:c>
    </x:row>
    <x:row r="10" ht="43" customHeight="1">
      <x:c r="A10" s="3" t="str">
        <x:v>Главная</x:v>
      </x:c>
      <x:c r="B10" s="3" t="str">
        <x:v>Телефон</x:v>
      </x:c>
      <x:c r="C10" s="3" t="str">
        <x:v>Блокировка интерфейса, TBT</x:v>
      </x:c>
      <x:c r="D10" s="3" t="str">
        <x:v>мс</x:v>
      </x:c>
      <x:c r="E10" s="21" t="n">
        <x:f>MEDIAN('Прогоны'!I7:I9)</x:f>
        <x:v>468.8217999999997</x:v>
      </x:c>
      <x:c r="F10" s="21" t="n">
        <x:f>MIN('Прогоны'!I7:I9)</x:f>
        <x:v>217</x:v>
      </x:c>
      <x:c r="G10" s="21" t="n">
        <x:f>MAX('Прогоны'!I7:I9)</x:f>
        <x:v>560.5</x:v>
      </x:c>
      <x:c r="H10" s="21" t="n">
        <x:f>MEDIAN('Прогоны'!I25:I27)</x:f>
        <x:v>67.5</x:v>
      </x:c>
      <x:c r="I10" s="21" t="n">
        <x:f>MIN('Прогоны'!I25:I27)</x:f>
        <x:v>48</x:v>
      </x:c>
      <x:c r="J10" s="21" t="n">
        <x:f>MAX('Прогоны'!I25:I27)</x:f>
        <x:v>108.5</x:v>
      </x:c>
      <x:c r="K10" s="21" t="n">
        <x:f>H10-E10</x:f>
        <x:v>-401.3217999999997</x:v>
      </x:c>
      <x:c r="L10" s="43" t="n">
        <x:f>IF(E10=0,"",K10/E10)</x:f>
        <x:v>-0.8560220535819792</x:v>
      </x:c>
    </x:row>
    <x:row r="11" ht="43" customHeight="1">
      <x:c r="A11" s="17" t="str">
        <x:v>Главная</x:v>
      </x:c>
      <x:c r="B11" s="17" t="str">
        <x:v>Телефон</x:v>
      </x:c>
      <x:c r="C11" s="17" t="str">
        <x:v>Сдвиги элементов, CLS</x:v>
      </x:c>
      <x:c r="D11" s="17" t="str">
        <x:v>коэффициент</x:v>
      </x:c>
      <x:c r="E11" s="32" t="n">
        <x:f>MEDIAN('Прогоны'!J7:J9)</x:f>
        <x:v>0</x:v>
      </x:c>
      <x:c r="F11" s="32" t="n">
        <x:f>MIN('Прогоны'!J7:J9)</x:f>
        <x:v>0</x:v>
      </x:c>
      <x:c r="G11" s="32" t="n">
        <x:f>MAX('Прогоны'!J7:J9)</x:f>
        <x:v>0.000491202620488728</x:v>
      </x:c>
      <x:c r="H11" s="32" t="n">
        <x:f>MEDIAN('Прогоны'!J25:J27)</x:f>
        <x:v>0</x:v>
      </x:c>
      <x:c r="I11" s="32" t="n">
        <x:f>MIN('Прогоны'!J25:J27)</x:f>
        <x:v>0</x:v>
      </x:c>
      <x:c r="J11" s="32" t="n">
        <x:f>MAX('Прогоны'!J25:J27)</x:f>
        <x:v>0</x:v>
      </x:c>
      <x:c r="K11" s="32" t="n">
        <x:f>H11-E11</x:f>
        <x:v>0</x:v>
      </x:c>
      <x:c r="L11" s="44" t="str">
        <x:f>IF(E11=0,"",K11/E11)</x:f>
      </x:c>
    </x:row>
    <x:row r="12" ht="43" customHeight="1">
      <x:c r="A12" s="3" t="str">
        <x:v>Главная</x:v>
      </x:c>
      <x:c r="B12" s="3" t="str">
        <x:v>Телефон</x:v>
      </x:c>
      <x:c r="C12" s="3" t="str">
        <x:v>Заполнение экрана, Speed Index</x:v>
      </x:c>
      <x:c r="D12" s="3" t="str">
        <x:v>с</x:v>
      </x:c>
      <x:c r="E12" s="29" t="n">
        <x:f>MEDIAN('Прогоны'!K7:K9)</x:f>
        <x:v>13.189730882160038</x:v>
      </x:c>
      <x:c r="F12" s="29" t="n">
        <x:f>MIN('Прогоны'!K7:K9)</x:f>
        <x:v>12.94625596251668</x:v>
      </x:c>
      <x:c r="G12" s="29" t="n">
        <x:f>MAX('Прогоны'!K7:K9)</x:f>
        <x:v>20.563836010149657</x:v>
      </x:c>
      <x:c r="H12" s="29" t="n">
        <x:f>MEDIAN('Прогоны'!K25:K27)</x:f>
        <x:v>6.645368347654583</x:v>
      </x:c>
      <x:c r="I12" s="29" t="n">
        <x:f>MIN('Прогоны'!K25:K27)</x:f>
        <x:v>6.585331357014422</x:v>
      </x:c>
      <x:c r="J12" s="29" t="n">
        <x:f>MAX('Прогоны'!K25:K27)</x:f>
        <x:v>6.651752823737132</x:v>
      </x:c>
      <x:c r="K12" s="29" t="n">
        <x:f>H12-E12</x:f>
        <x:v>-6.5443625345054555</x:v>
      </x:c>
      <x:c r="L12" s="43" t="n">
        <x:f>IF(E12=0,"",K12/E12)</x:f>
        <x:v>-0.49617104344085805</x:v>
      </x:c>
    </x:row>
    <x:row r="13" ht="43" customHeight="1">
      <x:c r="A13" s="17" t="str">
        <x:v>Главная</x:v>
      </x:c>
      <x:c r="B13" s="17" t="str">
        <x:v>Телефон</x:v>
      </x:c>
      <x:c r="C13" s="17" t="str">
        <x:v>Ответ сервера</x:v>
      </x:c>
      <x:c r="D13" s="17" t="str">
        <x:v>мс</x:v>
      </x:c>
      <x:c r="E13" s="20" t="n">
        <x:f>MEDIAN('Прогоны'!L7:L9)</x:f>
        <x:v>1070</x:v>
      </x:c>
      <x:c r="F13" s="20" t="n">
        <x:f>MIN('Прогоны'!L7:L9)</x:f>
        <x:v>994</x:v>
      </x:c>
      <x:c r="G13" s="20" t="n">
        <x:f>MAX('Прогоны'!L7:L9)</x:f>
        <x:v>1100</x:v>
      </x:c>
      <x:c r="H13" s="20" t="n">
        <x:f>MEDIAN('Прогоны'!L25:L27)</x:f>
        <x:v>998</x:v>
      </x:c>
      <x:c r="I13" s="20" t="n">
        <x:f>MIN('Прогоны'!L25:L27)</x:f>
        <x:v>988</x:v>
      </x:c>
      <x:c r="J13" s="20" t="n">
        <x:f>MAX('Прогоны'!L25:L27)</x:f>
        <x:v>1096</x:v>
      </x:c>
      <x:c r="K13" s="20" t="n">
        <x:f>H13-E13</x:f>
        <x:v>-72</x:v>
      </x:c>
      <x:c r="L13" s="44" t="n">
        <x:f>IF(E13=0,"",K13/E13)</x:f>
        <x:v>-0.06728971962616823</x:v>
      </x:c>
    </x:row>
    <x:row r="14" ht="43" customHeight="1">
      <x:c r="A14" s="3" t="str">
        <x:v>Главная</x:v>
      </x:c>
      <x:c r="B14" s="3" t="str">
        <x:v>Телефон</x:v>
      </x:c>
      <x:c r="C14" s="3" t="str">
        <x:v>Загрузка страницы</x:v>
      </x:c>
      <x:c r="D14" s="3" t="str">
        <x:v>байт</x:v>
      </x:c>
      <x:c r="E14" s="21" t="n">
        <x:f>MEDIAN('Прогоны'!M7:M9)</x:f>
        <x:v>14105936</x:v>
      </x:c>
      <x:c r="F14" s="21" t="n">
        <x:f>MIN('Прогоны'!M7:M9)</x:f>
        <x:v>13477359</x:v>
      </x:c>
      <x:c r="G14" s="21" t="n">
        <x:f>MAX('Прогоны'!M7:M9)</x:f>
        <x:v>14120236</x:v>
      </x:c>
      <x:c r="H14" s="21" t="n">
        <x:f>MEDIAN('Прогоны'!M25:M27)</x:f>
        <x:v>1292654</x:v>
      </x:c>
      <x:c r="I14" s="21" t="n">
        <x:f>MIN('Прогоны'!M25:M27)</x:f>
        <x:v>1292278</x:v>
      </x:c>
      <x:c r="J14" s="21" t="n">
        <x:f>MAX('Прогоны'!M25:M27)</x:f>
        <x:v>1292834</x:v>
      </x:c>
      <x:c r="K14" s="21" t="n">
        <x:f>H14-E14</x:f>
        <x:v>-12813282</x:v>
      </x:c>
      <x:c r="L14" s="43" t="n">
        <x:f>IF(E14=0,"",K14/E14)</x:f>
        <x:v>-0.9083609907205024</x:v>
      </x:c>
    </x:row>
    <x:row r="15" ht="43" customHeight="1">
      <x:c r="A15" s="17" t="str">
        <x:v>Главная</x:v>
      </x:c>
      <x:c r="B15" s="17" t="str">
        <x:v>Телефон</x:v>
      </x:c>
      <x:c r="C15" s="17" t="str">
        <x:v>Изображения</x:v>
      </x:c>
      <x:c r="D15" s="17" t="str">
        <x:v>байт</x:v>
      </x:c>
      <x:c r="E15" s="20" t="n">
        <x:f>MEDIAN('Прогоны'!N7:N9)</x:f>
        <x:v>10908650</x:v>
      </x:c>
      <x:c r="F15" s="20" t="n">
        <x:f>MIN('Прогоны'!N7:N9)</x:f>
        <x:v>10908620</x:v>
      </x:c>
      <x:c r="G15" s="20" t="n">
        <x:f>MAX('Прогоны'!N7:N9)</x:f>
        <x:v>10908818</x:v>
      </x:c>
      <x:c r="H15" s="20" t="n">
        <x:f>MEDIAN('Прогоны'!N25:N27)</x:f>
        <x:v>661993</x:v>
      </x:c>
      <x:c r="I15" s="20" t="n">
        <x:f>MIN('Прогоны'!N25:N27)</x:f>
        <x:v>661681</x:v>
      </x:c>
      <x:c r="J15" s="20" t="n">
        <x:f>MAX('Прогоны'!N25:N27)</x:f>
        <x:v>662121</x:v>
      </x:c>
      <x:c r="K15" s="20" t="n">
        <x:f>H15-E15</x:f>
        <x:v>-10246657</x:v>
      </x:c>
      <x:c r="L15" s="44" t="n">
        <x:f>IF(E15=0,"",K15/E15)</x:f>
        <x:v>-0.9393148556420822</x:v>
      </x:c>
    </x:row>
    <x:row r="16" ht="43" customHeight="1">
      <x:c r="A16" s="3" t="str">
        <x:v>Главная</x:v>
      </x:c>
      <x:c r="B16" s="3" t="str">
        <x:v>Телефон</x:v>
      </x:c>
      <x:c r="C16" s="3" t="str">
        <x:v>Скрипты</x:v>
      </x:c>
      <x:c r="D16" s="3" t="str">
        <x:v>байт</x:v>
      </x:c>
      <x:c r="E16" s="21" t="n">
        <x:f>MEDIAN('Прогоны'!O7:O9)</x:f>
        <x:v>2415145</x:v>
      </x:c>
      <x:c r="F16" s="21" t="n">
        <x:f>MIN('Прогоны'!O7:O9)</x:f>
        <x:v>1847426</x:v>
      </x:c>
      <x:c r="G16" s="21" t="n">
        <x:f>MAX('Прогоны'!O7:O9)</x:f>
        <x:v>2415147</x:v>
      </x:c>
      <x:c r="H16" s="21" t="n">
        <x:f>MEDIAN('Прогоны'!O25:O27)</x:f>
        <x:v>305315</x:v>
      </x:c>
      <x:c r="I16" s="21" t="n">
        <x:f>MIN('Прогоны'!O25:O27)</x:f>
        <x:v>305232</x:v>
      </x:c>
      <x:c r="J16" s="21" t="n">
        <x:f>MAX('Прогоны'!O25:O27)</x:f>
        <x:v>305500</x:v>
      </x:c>
      <x:c r="K16" s="21" t="n">
        <x:f>H16-E16</x:f>
        <x:v>-2109830</x:v>
      </x:c>
      <x:c r="L16" s="43" t="n">
        <x:f>IF(E16=0,"",K16/E16)</x:f>
        <x:v>-0.8735831596032536</x:v>
      </x:c>
    </x:row>
    <x:row r="17" ht="43" customHeight="1">
      <x:c r="A17" s="17" t="str">
        <x:v>Главная</x:v>
      </x:c>
      <x:c r="B17" s="17" t="str">
        <x:v>Телефон</x:v>
      </x:c>
      <x:c r="C17" s="17" t="str">
        <x:v>Шрифты</x:v>
      </x:c>
      <x:c r="D17" s="17" t="str">
        <x:v>байт</x:v>
      </x:c>
      <x:c r="E17" s="20" t="n">
        <x:f>MEDIAN('Прогоны'!P7:P9)</x:f>
        <x:v>220618</x:v>
      </x:c>
      <x:c r="F17" s="20" t="n">
        <x:f>MIN('Прогоны'!P7:P9)</x:f>
        <x:v>220618</x:v>
      </x:c>
      <x:c r="G17" s="20" t="n">
        <x:f>MAX('Прогоны'!P7:P9)</x:f>
        <x:v>220618</x:v>
      </x:c>
      <x:c r="H17" s="20" t="n">
        <x:f>MEDIAN('Прогоны'!P25:P27)</x:f>
        <x:v>220618</x:v>
      </x:c>
      <x:c r="I17" s="20" t="n">
        <x:f>MIN('Прогоны'!P25:P27)</x:f>
        <x:v>220618</x:v>
      </x:c>
      <x:c r="J17" s="20" t="n">
        <x:f>MAX('Прогоны'!P25:P27)</x:f>
        <x:v>220618</x:v>
      </x:c>
      <x:c r="K17" s="20" t="n">
        <x:f>H17-E17</x:f>
        <x:v>0</x:v>
      </x:c>
      <x:c r="L17" s="44" t="n">
        <x:f>IF(E17=0,"",K17/E17)</x:f>
        <x:v>0</x:v>
      </x:c>
    </x:row>
    <x:row r="18" ht="43" customHeight="1">
      <x:c r="A18" s="3" t="str">
        <x:v>Главная</x:v>
      </x:c>
      <x:c r="B18" s="3" t="str">
        <x:v>Телефон</x:v>
      </x:c>
      <x:c r="C18" s="3" t="str">
        <x:v>Стили</x:v>
      </x:c>
      <x:c r="D18" s="3" t="str">
        <x:v>байт</x:v>
      </x:c>
      <x:c r="E18" s="21" t="n">
        <x:f>MEDIAN('Прогоны'!Q7:Q9)</x:f>
        <x:v>145366</x:v>
      </x:c>
      <x:c r="F18" s="21" t="n">
        <x:f>MIN('Прогоны'!Q7:Q9)</x:f>
        <x:v>89814</x:v>
      </x:c>
      <x:c r="G18" s="21" t="n">
        <x:f>MAX('Прогоны'!Q7:Q9)</x:f>
        <x:v>145369</x:v>
      </x:c>
      <x:c r="H18" s="21" t="n">
        <x:f>MEDIAN('Прогоны'!Q25:Q27)</x:f>
        <x:v>30521</x:v>
      </x:c>
      <x:c r="I18" s="21" t="n">
        <x:f>MIN('Прогоны'!Q25:Q27)</x:f>
        <x:v>30521</x:v>
      </x:c>
      <x:c r="J18" s="21" t="n">
        <x:f>MAX('Прогоны'!Q25:Q27)</x:f>
        <x:v>30521</x:v>
      </x:c>
      <x:c r="K18" s="21" t="n">
        <x:f>H18-E18</x:f>
        <x:v>-114845</x:v>
      </x:c>
      <x:c r="L18" s="43" t="n">
        <x:f>IF(E18=0,"",K18/E18)</x:f>
        <x:v>-0.7900403120399543</x:v>
      </x:c>
    </x:row>
    <x:row r="19" ht="43" customHeight="1">
      <x:c r="A19" s="17" t="str">
        <x:v>Главная</x:v>
      </x:c>
      <x:c r="B19" s="17" t="str">
        <x:v>Телефон</x:v>
      </x:c>
      <x:c r="C19" s="17" t="str">
        <x:v>Запросы</x:v>
      </x:c>
      <x:c r="D19" s="17" t="str">
        <x:v>шт.</x:v>
      </x:c>
      <x:c r="E19" s="20" t="n">
        <x:f>MEDIAN('Прогоны'!R7:R9)</x:f>
        <x:v>180</x:v>
      </x:c>
      <x:c r="F19" s="20" t="n">
        <x:f>MIN('Прогоны'!R7:R9)</x:f>
        <x:v>160</x:v>
      </x:c>
      <x:c r="G19" s="20" t="n">
        <x:f>MAX('Прогоны'!R7:R9)</x:f>
        <x:v>181</x:v>
      </x:c>
      <x:c r="H19" s="20" t="n">
        <x:f>MEDIAN('Прогоны'!R25:R27)</x:f>
        <x:v>70</x:v>
      </x:c>
      <x:c r="I19" s="20" t="n">
        <x:f>MIN('Прогоны'!R25:R27)</x:f>
        <x:v>70</x:v>
      </x:c>
      <x:c r="J19" s="20" t="n">
        <x:f>MAX('Прогоны'!R25:R27)</x:f>
        <x:v>70</x:v>
      </x:c>
      <x:c r="K19" s="20" t="n">
        <x:f>H19-E19</x:f>
        <x:v>-110</x:v>
      </x:c>
      <x:c r="L19" s="44" t="n">
        <x:f>IF(E19=0,"",K19/E19)</x:f>
        <x:v>-0.6111111111111112</x:v>
      </x:c>
    </x:row>
    <x:row r="20" ht="43" customHeight="1">
      <x:c r="A20" s="36" t="str">
        <x:v>Главная</x:v>
      </x:c>
      <x:c r="B20" s="36" t="str">
        <x:v>Компьютер</x:v>
      </x:c>
      <x:c r="C20" s="36" t="str">
        <x:v>Lighthouse</x:v>
      </x:c>
      <x:c r="D20" s="36" t="str">
        <x:v>баллы</x:v>
      </x:c>
      <x:c r="E20" s="37" t="n">
        <x:f>MEDIAN('Прогоны'!F10:F12)</x:f>
        <x:v>56.00000000000001</x:v>
      </x:c>
      <x:c r="F20" s="37" t="n">
        <x:f>MIN('Прогоны'!F10:F12)</x:f>
        <x:v>56.00000000000001</x:v>
      </x:c>
      <x:c r="G20" s="37" t="n">
        <x:f>MAX('Прогоны'!F10:F12)</x:f>
        <x:v>57.99999999999999</x:v>
      </x:c>
      <x:c r="H20" s="37" t="n">
        <x:f>MEDIAN('Прогоны'!F28:F30)</x:f>
        <x:v>72</x:v>
      </x:c>
      <x:c r="I20" s="37" t="n">
        <x:f>MIN('Прогоны'!F28:F30)</x:f>
        <x:v>70</x:v>
      </x:c>
      <x:c r="J20" s="37" t="n">
        <x:f>MAX('Прогоны'!F28:F30)</x:f>
        <x:v>72</x:v>
      </x:c>
      <x:c r="K20" s="37" t="n">
        <x:f>H20-E20</x:f>
        <x:v>15.999999999999993</x:v>
      </x:c>
      <x:c r="L20" s="45" t="n">
        <x:f>IF(E20=0,"",K20/E20)</x:f>
        <x:v>0.28571428571428553</x:v>
      </x:c>
    </x:row>
    <x:row r="21" ht="43" customHeight="1">
      <x:c r="A21" s="17" t="str">
        <x:v>Главная</x:v>
      </x:c>
      <x:c r="B21" s="17" t="str">
        <x:v>Компьютер</x:v>
      </x:c>
      <x:c r="C21" s="17" t="str">
        <x:v>Первый видимый контент, FCP</x:v>
      </x:c>
      <x:c r="D21" s="17" t="str">
        <x:v>с</x:v>
      </x:c>
      <x:c r="E21" s="28" t="n">
        <x:f>MEDIAN('Прогоны'!G10:G12)</x:f>
        <x:v>3.9810770799999995</x:v>
      </x:c>
      <x:c r="F21" s="28" t="n">
        <x:f>MIN('Прогоны'!G10:G12)</x:f>
        <x:v>2.9975611</x:v>
      </x:c>
      <x:c r="G21" s="28" t="n">
        <x:f>MAX('Прогоны'!G10:G12)</x:f>
        <x:v>5.2477277</x:v>
      </x:c>
      <x:c r="H21" s="28" t="n">
        <x:f>MEDIAN('Прогоны'!G28:G30)</x:f>
        <x:v>2.12293024</x:v>
      </x:c>
      <x:c r="I21" s="28" t="n">
        <x:f>MIN('Прогоны'!G28:G30)</x:f>
        <x:v>2.0799576400000004</x:v>
      </x:c>
      <x:c r="J21" s="28" t="n">
        <x:f>MAX('Прогоны'!G28:G30)</x:f>
        <x:v>2.2130944000000006</x:v>
      </x:c>
      <x:c r="K21" s="28" t="n">
        <x:f>H21-E21</x:f>
        <x:v>-1.8581468399999994</x:v>
      </x:c>
      <x:c r="L21" s="44" t="n">
        <x:f>IF(E21=0,"",K21/E21)</x:f>
        <x:v>-0.4667447534072864</x:v>
      </x:c>
    </x:row>
    <x:row r="22" ht="43" customHeight="1">
      <x:c r="A22" s="3" t="str">
        <x:v>Главная</x:v>
      </x:c>
      <x:c r="B22" s="3" t="str">
        <x:v>Компьютер</x:v>
      </x:c>
      <x:c r="C22" s="3" t="str">
        <x:v>Главный элемент, LCP</x:v>
      </x:c>
      <x:c r="D22" s="3" t="str">
        <x:v>с</x:v>
      </x:c>
      <x:c r="E22" s="29" t="n">
        <x:f>MEDIAN('Прогоны'!H10:H12)</x:f>
        <x:v>6.309365599999999</x:v>
      </x:c>
      <x:c r="F22" s="29" t="n">
        <x:f>MIN('Прогоны'!H10:H12)</x:f>
        <x:v>5.04660165</x:v>
      </x:c>
      <x:c r="G22" s="29" t="n">
        <x:f>MAX('Прогоны'!H10:H12)</x:f>
        <x:v>6.7123642</x:v>
      </x:c>
      <x:c r="H22" s="29" t="n">
        <x:f>MEDIAN('Прогоны'!H28:H30)</x:f>
        <x:v>2.4379597800000004</x:v>
      </x:c>
      <x:c r="I22" s="29" t="n">
        <x:f>MIN('Прогоны'!H28:H30)</x:f>
        <x:v>2.3842510800000003</x:v>
      </x:c>
      <x:c r="J22" s="29" t="n">
        <x:f>MAX('Прогоны'!H28:H30)</x:f>
        <x:v>2.5420123</x:v>
      </x:c>
      <x:c r="K22" s="29" t="n">
        <x:f>H22-E22</x:f>
        <x:v>-3.8714058199999983</x:v>
      </x:c>
      <x:c r="L22" s="43" t="n">
        <x:f>IF(E22=0,"",K22/E22)</x:f>
        <x:v>-0.6135966855368151</x:v>
      </x:c>
    </x:row>
    <x:row r="23" ht="43" customHeight="1">
      <x:c r="A23" s="17" t="str">
        <x:v>Главная</x:v>
      </x:c>
      <x:c r="B23" s="17" t="str">
        <x:v>Компьютер</x:v>
      </x:c>
      <x:c r="C23" s="17" t="str">
        <x:v>Блокировка интерфейса, TBT</x:v>
      </x:c>
      <x:c r="D23" s="17" t="str">
        <x:v>мс</x:v>
      </x:c>
      <x:c r="E23" s="20" t="n">
        <x:f>MEDIAN('Прогоны'!I10:I12)</x:f>
        <x:v>2</x:v>
      </x:c>
      <x:c r="F23" s="20" t="n">
        <x:f>MIN('Прогоны'!I10:I12)</x:f>
        <x:v>0</x:v>
      </x:c>
      <x:c r="G23" s="20" t="n">
        <x:f>MAX('Прогоны'!I10:I12)</x:f>
        <x:v>2.999999999998181</x:v>
      </x:c>
      <x:c r="H23" s="20" t="n">
        <x:f>MEDIAN('Прогоны'!I28:I30)</x:f>
        <x:v>0</x:v>
      </x:c>
      <x:c r="I23" s="20" t="n">
        <x:f>MIN('Прогоны'!I28:I30)</x:f>
        <x:v>0</x:v>
      </x:c>
      <x:c r="J23" s="20" t="n">
        <x:f>MAX('Прогоны'!I28:I30)</x:f>
        <x:v>0</x:v>
      </x:c>
      <x:c r="K23" s="20" t="n">
        <x:f>H23-E23</x:f>
        <x:v>-2</x:v>
      </x:c>
      <x:c r="L23" s="44" t="n">
        <x:f>IF(E23=0,"",K23/E23)</x:f>
        <x:v>-1</x:v>
      </x:c>
    </x:row>
    <x:row r="24" ht="43" customHeight="1">
      <x:c r="A24" s="3" t="str">
        <x:v>Главная</x:v>
      </x:c>
      <x:c r="B24" s="3" t="str">
        <x:v>Компьютер</x:v>
      </x:c>
      <x:c r="C24" s="3" t="str">
        <x:v>Сдвиги элементов, CLS</x:v>
      </x:c>
      <x:c r="D24" s="3" t="str">
        <x:v>коэффициент</x:v>
      </x:c>
      <x:c r="E24" s="33" t="n">
        <x:f>MEDIAN('Прогоны'!J10:J12)</x:f>
        <x:v>0.01093603113249247</x:v>
      </x:c>
      <x:c r="F24" s="33" t="n">
        <x:f>MIN('Прогоны'!J10:J12)</x:f>
        <x:v>0.010488213842188059</x:v>
      </x:c>
      <x:c r="G24" s="33" t="n">
        <x:f>MAX('Прогоны'!J10:J12)</x:f>
        <x:v>0.01098383355971185</x:v>
      </x:c>
      <x:c r="H24" s="33" t="n">
        <x:f>MEDIAN('Прогоны'!J28:J30)</x:f>
        <x:v>0.010211079982200109</x:v>
      </x:c>
      <x:c r="I24" s="33" t="n">
        <x:f>MIN('Прогоны'!J28:J30)</x:f>
        <x:v>0.010211079982200109</x:v>
      </x:c>
      <x:c r="J24" s="33" t="n">
        <x:f>MAX('Прогоны'!J28:J30)</x:f>
        <x:v>0.01063298715477277</x:v>
      </x:c>
      <x:c r="K24" s="33" t="n">
        <x:f>H24-E24</x:f>
        <x:v>-0.0007249511502923616</x:v>
      </x:c>
      <x:c r="L24" s="43" t="n">
        <x:f>IF(E24=0,"",K24/E24)</x:f>
        <x:v>-0.0662901505591394</x:v>
      </x:c>
    </x:row>
    <x:row r="25" ht="43" customHeight="1">
      <x:c r="A25" s="17" t="str">
        <x:v>Главная</x:v>
      </x:c>
      <x:c r="B25" s="17" t="str">
        <x:v>Компьютер</x:v>
      </x:c>
      <x:c r="C25" s="17" t="str">
        <x:v>Заполнение экрана, Speed Index</x:v>
      </x:c>
      <x:c r="D25" s="17" t="str">
        <x:v>с</x:v>
      </x:c>
      <x:c r="E25" s="28" t="n">
        <x:f>MEDIAN('Прогоны'!K10:K12)</x:f>
        <x:v>6.6702584389794515</x:v>
      </x:c>
      <x:c r="F25" s="28" t="n">
        <x:f>MIN('Прогоны'!K10:K12)</x:f>
        <x:v>4.715569967488367</x:v>
      </x:c>
      <x:c r="G25" s="28" t="n">
        <x:f>MAX('Прогоны'!K10:K12)</x:f>
        <x:v>7.38431585225116</x:v>
      </x:c>
      <x:c r="H25" s="28" t="n">
        <x:f>MEDIAN('Прогоны'!K28:K30)</x:f>
        <x:v>3.136093933675804</x:v>
      </x:c>
      <x:c r="I25" s="28" t="n">
        <x:f>MIN('Прогоны'!K28:K30)</x:f>
        <x:v>3.061819917493851</x:v>
      </x:c>
      <x:c r="J25" s="28" t="n">
        <x:f>MAX('Прогоны'!K28:K30)</x:f>
        <x:v>3.519720853646605</x:v>
      </x:c>
      <x:c r="K25" s="28" t="n">
        <x:f>H25-E25</x:f>
        <x:v>-3.5341645053036475</x:v>
      </x:c>
      <x:c r="L25" s="44" t="n">
        <x:f>IF(E25=0,"",K25/E25)</x:f>
        <x:v>-0.5298392165213278</x:v>
      </x:c>
    </x:row>
    <x:row r="26" ht="43" customHeight="1">
      <x:c r="A26" s="3" t="str">
        <x:v>Главная</x:v>
      </x:c>
      <x:c r="B26" s="3" t="str">
        <x:v>Компьютер</x:v>
      </x:c>
      <x:c r="C26" s="3" t="str">
        <x:v>Ответ сервера</x:v>
      </x:c>
      <x:c r="D26" s="3" t="str">
        <x:v>мс</x:v>
      </x:c>
      <x:c r="E26" s="21" t="n">
        <x:f>MEDIAN('Прогоны'!L10:L12)</x:f>
        <x:v>1128</x:v>
      </x:c>
      <x:c r="F26" s="21" t="n">
        <x:f>MIN('Прогоны'!L10:L12)</x:f>
        <x:v>1118</x:v>
      </x:c>
      <x:c r="G26" s="21" t="n">
        <x:f>MAX('Прогоны'!L10:L12)</x:f>
        <x:v>1205</x:v>
      </x:c>
      <x:c r="H26" s="21" t="n">
        <x:f>MEDIAN('Прогоны'!L28:L30)</x:f>
        <x:v>1041</x:v>
      </x:c>
      <x:c r="I26" s="21" t="n">
        <x:f>MIN('Прогоны'!L28:L30)</x:f>
        <x:v>1040</x:v>
      </x:c>
      <x:c r="J26" s="21" t="n">
        <x:f>MAX('Прогоны'!L28:L30)</x:f>
        <x:v>1164</x:v>
      </x:c>
      <x:c r="K26" s="21" t="n">
        <x:f>H26-E26</x:f>
        <x:v>-87</x:v>
      </x:c>
      <x:c r="L26" s="43" t="n">
        <x:f>IF(E26=0,"",K26/E26)</x:f>
        <x:v>-0.07712765957446809</x:v>
      </x:c>
    </x:row>
    <x:row r="27" ht="43" customHeight="1">
      <x:c r="A27" s="17" t="str">
        <x:v>Главная</x:v>
      </x:c>
      <x:c r="B27" s="17" t="str">
        <x:v>Компьютер</x:v>
      </x:c>
      <x:c r="C27" s="17" t="str">
        <x:v>Загрузка страницы</x:v>
      </x:c>
      <x:c r="D27" s="17" t="str">
        <x:v>байт</x:v>
      </x:c>
      <x:c r="E27" s="20" t="n">
        <x:f>MEDIAN('Прогоны'!M10:M12)</x:f>
        <x:v>14165660</x:v>
      </x:c>
      <x:c r="F27" s="20" t="n">
        <x:f>MIN('Прогоны'!M10:M12)</x:f>
        <x:v>14165611</x:v>
      </x:c>
      <x:c r="G27" s="20" t="n">
        <x:f>MAX('Прогоны'!M10:M12)</x:f>
        <x:v>14202185</x:v>
      </x:c>
      <x:c r="H27" s="20" t="n">
        <x:f>MEDIAN('Прогоны'!M28:M30)</x:f>
        <x:v>2367913</x:v>
      </x:c>
      <x:c r="I27" s="20" t="n">
        <x:f>MIN('Прогоны'!M28:M30)</x:f>
        <x:v>2367837</x:v>
      </x:c>
      <x:c r="J27" s="20" t="n">
        <x:f>MAX('Прогоны'!M28:M30)</x:f>
        <x:v>2367974</x:v>
      </x:c>
      <x:c r="K27" s="20" t="n">
        <x:f>H27-E27</x:f>
        <x:v>-11797747</x:v>
      </x:c>
      <x:c r="L27" s="44" t="n">
        <x:f>IF(E27=0,"",K27/E27)</x:f>
        <x:v>-0.8328413219009916</x:v>
      </x:c>
    </x:row>
    <x:row r="28" ht="43" customHeight="1">
      <x:c r="A28" s="3" t="str">
        <x:v>Главная</x:v>
      </x:c>
      <x:c r="B28" s="3" t="str">
        <x:v>Компьютер</x:v>
      </x:c>
      <x:c r="C28" s="3" t="str">
        <x:v>Изображения</x:v>
      </x:c>
      <x:c r="D28" s="3" t="str">
        <x:v>байт</x:v>
      </x:c>
      <x:c r="E28" s="21" t="n">
        <x:f>MEDIAN('Прогоны'!N10:N12)</x:f>
        <x:v>10955579</x:v>
      </x:c>
      <x:c r="F28" s="21" t="n">
        <x:f>MIN('Прогоны'!N10:N12)</x:f>
        <x:v>10955540</x:v>
      </x:c>
      <x:c r="G28" s="21" t="n">
        <x:f>MAX('Прогоны'!N10:N12)</x:f>
        <x:v>10956757</x:v>
      </x:c>
      <x:c r="H28" s="21" t="n">
        <x:f>MEDIAN('Прогоны'!N28:N30)</x:f>
        <x:v>1737303</x:v>
      </x:c>
      <x:c r="I28" s="21" t="n">
        <x:f>MIN('Прогоны'!N28:N30)</x:f>
        <x:v>1737302</x:v>
      </x:c>
      <x:c r="J28" s="21" t="n">
        <x:f>MAX('Прогоны'!N28:N30)</x:f>
        <x:v>1737435</x:v>
      </x:c>
      <x:c r="K28" s="21" t="n">
        <x:f>H28-E28</x:f>
        <x:v>-9218276</x:v>
      </x:c>
      <x:c r="L28" s="43" t="n">
        <x:f>IF(E28=0,"",K28/E28)</x:f>
        <x:v>-0.8414229864071995</x:v>
      </x:c>
    </x:row>
    <x:row r="29" ht="43" customHeight="1">
      <x:c r="A29" s="17" t="str">
        <x:v>Главная</x:v>
      </x:c>
      <x:c r="B29" s="17" t="str">
        <x:v>Компьютер</x:v>
      </x:c>
      <x:c r="C29" s="17" t="str">
        <x:v>Скрипты</x:v>
      </x:c>
      <x:c r="D29" s="17" t="str">
        <x:v>байт</x:v>
      </x:c>
      <x:c r="E29" s="20" t="n">
        <x:f>MEDIAN('Прогоны'!O10:O12)</x:f>
        <x:v>2415161</x:v>
      </x:c>
      <x:c r="F29" s="20" t="n">
        <x:f>MIN('Прогоны'!O10:O12)</x:f>
        <x:v>2415149</x:v>
      </x:c>
      <x:c r="G29" s="20" t="n">
        <x:f>MAX('Прогоны'!O10:O12)</x:f>
        <x:v>2415189</x:v>
      </x:c>
      <x:c r="H29" s="20" t="n">
        <x:f>MEDIAN('Прогоны'!O28:O30)</x:f>
        <x:v>305211</x:v>
      </x:c>
      <x:c r="I29" s="20" t="n">
        <x:f>MIN('Прогоны'!O28:O30)</x:f>
        <x:v>305209</x:v>
      </x:c>
      <x:c r="J29" s="20" t="n">
        <x:f>MAX('Прогоны'!O28:O30)</x:f>
        <x:v>305241</x:v>
      </x:c>
      <x:c r="K29" s="20" t="n">
        <x:f>H29-E29</x:f>
        <x:v>-2109950</x:v>
      </x:c>
      <x:c r="L29" s="44" t="n">
        <x:f>IF(E29=0,"",K29/E29)</x:f>
        <x:v>-0.8736270584031458</x:v>
      </x:c>
    </x:row>
    <x:row r="30" ht="43" customHeight="1">
      <x:c r="A30" s="3" t="str">
        <x:v>Главная</x:v>
      </x:c>
      <x:c r="B30" s="3" t="str">
        <x:v>Компьютер</x:v>
      </x:c>
      <x:c r="C30" s="3" t="str">
        <x:v>Шрифты</x:v>
      </x:c>
      <x:c r="D30" s="3" t="str">
        <x:v>байт</x:v>
      </x:c>
      <x:c r="E30" s="21" t="n">
        <x:f>MEDIAN('Прогоны'!P10:P12)</x:f>
        <x:v>220618</x:v>
      </x:c>
      <x:c r="F30" s="21" t="n">
        <x:f>MIN('Прогоны'!P10:P12)</x:f>
        <x:v>220618</x:v>
      </x:c>
      <x:c r="G30" s="21" t="n">
        <x:f>MAX('Прогоны'!P10:P12)</x:f>
        <x:v>220618</x:v>
      </x:c>
      <x:c r="H30" s="21" t="n">
        <x:f>MEDIAN('Прогоны'!P28:P30)</x:f>
        <x:v>220618</x:v>
      </x:c>
      <x:c r="I30" s="21" t="n">
        <x:f>MIN('Прогоны'!P28:P30)</x:f>
        <x:v>220618</x:v>
      </x:c>
      <x:c r="J30" s="21" t="n">
        <x:f>MAX('Прогоны'!P28:P30)</x:f>
        <x:v>220618</x:v>
      </x:c>
      <x:c r="K30" s="21" t="n">
        <x:f>H30-E30</x:f>
        <x:v>0</x:v>
      </x:c>
      <x:c r="L30" s="43" t="n">
        <x:f>IF(E30=0,"",K30/E30)</x:f>
        <x:v>0</x:v>
      </x:c>
    </x:row>
    <x:row r="31" ht="43" customHeight="1">
      <x:c r="A31" s="17" t="str">
        <x:v>Главная</x:v>
      </x:c>
      <x:c r="B31" s="17" t="str">
        <x:v>Компьютер</x:v>
      </x:c>
      <x:c r="C31" s="17" t="str">
        <x:v>Стили</x:v>
      </x:c>
      <x:c r="D31" s="17" t="str">
        <x:v>байт</x:v>
      </x:c>
      <x:c r="E31" s="20" t="n">
        <x:f>MEDIAN('Прогоны'!Q10:Q12)</x:f>
        <x:v>145369</x:v>
      </x:c>
      <x:c r="F31" s="20" t="n">
        <x:f>MIN('Прогоны'!Q10:Q12)</x:f>
        <x:v>145368</x:v>
      </x:c>
      <x:c r="G31" s="20" t="n">
        <x:f>MAX('Прогоны'!Q10:Q12)</x:f>
        <x:v>145370</x:v>
      </x:c>
      <x:c r="H31" s="20" t="n">
        <x:f>MEDIAN('Прогоны'!Q28:Q30)</x:f>
        <x:v>30521</x:v>
      </x:c>
      <x:c r="I31" s="20" t="n">
        <x:f>MIN('Прогоны'!Q28:Q30)</x:f>
        <x:v>30521</x:v>
      </x:c>
      <x:c r="J31" s="20" t="n">
        <x:f>MAX('Прогоны'!Q28:Q30)</x:f>
        <x:v>30521</x:v>
      </x:c>
      <x:c r="K31" s="20" t="n">
        <x:f>H31-E31</x:f>
        <x:v>-114848</x:v>
      </x:c>
      <x:c r="L31" s="44" t="n">
        <x:f>IF(E31=0,"",K31/E31)</x:f>
        <x:v>-0.7900446450068447</x:v>
      </x:c>
    </x:row>
    <x:row r="32" ht="43" customHeight="1">
      <x:c r="A32" s="3" t="str">
        <x:v>Главная</x:v>
      </x:c>
      <x:c r="B32" s="3" t="str">
        <x:v>Компьютер</x:v>
      </x:c>
      <x:c r="C32" s="3" t="str">
        <x:v>Запросы</x:v>
      </x:c>
      <x:c r="D32" s="3" t="str">
        <x:v>шт.</x:v>
      </x:c>
      <x:c r="E32" s="21" t="n">
        <x:f>MEDIAN('Прогоны'!R10:R12)</x:f>
        <x:v>191</x:v>
      </x:c>
      <x:c r="F32" s="21" t="n">
        <x:f>MIN('Прогоны'!R10:R12)</x:f>
        <x:v>190</x:v>
      </x:c>
      <x:c r="G32" s="21" t="n">
        <x:f>MAX('Прогоны'!R10:R12)</x:f>
        <x:v>193</x:v>
      </x:c>
      <x:c r="H32" s="21" t="n">
        <x:f>MEDIAN('Прогоны'!R28:R30)</x:f>
        <x:v>80</x:v>
      </x:c>
      <x:c r="I32" s="21" t="n">
        <x:f>MIN('Прогоны'!R28:R30)</x:f>
        <x:v>80</x:v>
      </x:c>
      <x:c r="J32" s="21" t="n">
        <x:f>MAX('Прогоны'!R28:R30)</x:f>
        <x:v>80</x:v>
      </x:c>
      <x:c r="K32" s="21" t="n">
        <x:f>H32-E32</x:f>
        <x:v>-111</x:v>
      </x:c>
      <x:c r="L32" s="43" t="n">
        <x:f>IF(E32=0,"",K32/E32)</x:f>
        <x:v>-0.581151832460733</x:v>
      </x:c>
    </x:row>
    <x:row r="33" ht="43" customHeight="1">
      <x:c r="A33" s="34" t="str">
        <x:v>Генеральная уборка</x:v>
      </x:c>
      <x:c r="B33" s="34" t="str">
        <x:v>Телефон</x:v>
      </x:c>
      <x:c r="C33" s="34" t="str">
        <x:v>Lighthouse</x:v>
      </x:c>
      <x:c r="D33" s="34" t="str">
        <x:v>баллы</x:v>
      </x:c>
      <x:c r="E33" s="35" t="n">
        <x:f>MEDIAN('Прогоны'!F13:F15)</x:f>
        <x:v>42</x:v>
      </x:c>
      <x:c r="F33" s="35" t="n">
        <x:f>MIN('Прогоны'!F13:F15)</x:f>
        <x:v>41</x:v>
      </x:c>
      <x:c r="G33" s="35" t="n">
        <x:f>MAX('Прогоны'!F13:F15)</x:f>
        <x:v>43</x:v>
      </x:c>
      <x:c r="H33" s="35" t="n">
        <x:f>MEDIAN('Прогоны'!F31:F33)</x:f>
        <x:v>74</x:v>
      </x:c>
      <x:c r="I33" s="35" t="n">
        <x:f>MIN('Прогоны'!F31:F33)</x:f>
        <x:v>74</x:v>
      </x:c>
      <x:c r="J33" s="35" t="n">
        <x:f>MAX('Прогоны'!F31:F33)</x:f>
        <x:v>74</x:v>
      </x:c>
      <x:c r="K33" s="35" t="n">
        <x:f>H33-E33</x:f>
        <x:v>32</x:v>
      </x:c>
      <x:c r="L33" s="42" t="n">
        <x:f>IF(E33=0,"",K33/E33)</x:f>
        <x:v>0.7619047619047619</x:v>
      </x:c>
    </x:row>
    <x:row r="34" ht="43" customHeight="1">
      <x:c r="A34" s="3" t="str">
        <x:v>Генеральная уборка</x:v>
      </x:c>
      <x:c r="B34" s="3" t="str">
        <x:v>Телефон</x:v>
      </x:c>
      <x:c r="C34" s="3" t="str">
        <x:v>Первый видимый контент, FCP</x:v>
      </x:c>
      <x:c r="D34" s="3" t="str">
        <x:v>с</x:v>
      </x:c>
      <x:c r="E34" s="29" t="n">
        <x:f>MEDIAN('Прогоны'!G13:G15)</x:f>
        <x:v>5.61620705</x:v>
      </x:c>
      <x:c r="F34" s="29" t="n">
        <x:f>MIN('Прогоны'!G13:G15)</x:f>
        <x:v>4.4350806</x:v>
      </x:c>
      <x:c r="G34" s="29" t="n">
        <x:f>MAX('Прогоны'!G13:G15)</x:f>
        <x:v>5.647954254999999</x:v>
      </x:c>
      <x:c r="H34" s="29" t="n">
        <x:f>MEDIAN('Прогоны'!G31:G33)</x:f>
        <x:v>3.6794034</x:v>
      </x:c>
      <x:c r="I34" s="29" t="n">
        <x:f>MIN('Прогоны'!G31:G33)</x:f>
        <x:v>3.6151171</x:v>
      </x:c>
      <x:c r="J34" s="29" t="n">
        <x:f>MAX('Прогоны'!G31:G33)</x:f>
        <x:v>3.6883975999999996</x:v>
      </x:c>
      <x:c r="K34" s="29" t="n">
        <x:f>H34-E34</x:f>
        <x:v>-1.9368036499999999</x:v>
      </x:c>
      <x:c r="L34" s="43" t="n">
        <x:f>IF(E34=0,"",K34/E34)</x:f>
        <x:v>-0.3448597305542715</x:v>
      </x:c>
    </x:row>
    <x:row r="35" ht="43" customHeight="1">
      <x:c r="A35" s="17" t="str">
        <x:v>Генеральная уборка</x:v>
      </x:c>
      <x:c r="B35" s="17" t="str">
        <x:v>Телефон</x:v>
      </x:c>
      <x:c r="C35" s="17" t="str">
        <x:v>Главный элемент, LCP</x:v>
      </x:c>
      <x:c r="D35" s="17" t="str">
        <x:v>с</x:v>
      </x:c>
      <x:c r="E35" s="28" t="n">
        <x:f>MEDIAN('Прогоны'!H13:H15)</x:f>
        <x:v>7.995280075000002</x:v>
      </x:c>
      <x:c r="F35" s="28" t="n">
        <x:f>MIN('Прогоны'!H13:H15)</x:f>
        <x:v>7.467995034999999</x:v>
      </x:c>
      <x:c r="G35" s="28" t="n">
        <x:f>MAX('Прогоны'!H13:H15)</x:f>
        <x:v>13.9937114</x:v>
      </x:c>
      <x:c r="H35" s="28" t="n">
        <x:f>MEDIAN('Прогоны'!H31:H33)</x:f>
        <x:v>4.0727146</x:v>
      </x:c>
      <x:c r="I35" s="28" t="n">
        <x:f>MIN('Прогоны'!H31:H33)</x:f>
        <x:v>4.0020409</x:v>
      </x:c>
      <x:c r="J35" s="28" t="n">
        <x:f>MAX('Прогоны'!H31:H33)</x:f>
        <x:v>4.0843904</x:v>
      </x:c>
      <x:c r="K35" s="28" t="n">
        <x:f>H35-E35</x:f>
        <x:v>-3.9225654750000016</x:v>
      </x:c>
      <x:c r="L35" s="44" t="n">
        <x:f>IF(E35=0,"",K35/E35)</x:f>
        <x:v>-0.49061013975798723</x:v>
      </x:c>
    </x:row>
    <x:row r="36" ht="43" customHeight="1">
      <x:c r="A36" s="3" t="str">
        <x:v>Генеральная уборка</x:v>
      </x:c>
      <x:c r="B36" s="3" t="str">
        <x:v>Телефон</x:v>
      </x:c>
      <x:c r="C36" s="3" t="str">
        <x:v>Блокировка интерфейса, TBT</x:v>
      </x:c>
      <x:c r="D36" s="3" t="str">
        <x:v>мс</x:v>
      </x:c>
      <x:c r="E36" s="21" t="n">
        <x:f>MEDIAN('Прогоны'!I13:I15)</x:f>
        <x:v>580.5</x:v>
      </x:c>
      <x:c r="F36" s="21" t="n">
        <x:f>MIN('Прогоны'!I13:I15)</x:f>
        <x:v>557.5</x:v>
      </x:c>
      <x:c r="G36" s="21" t="n">
        <x:f>MAX('Прогоны'!I13:I15)</x:f>
        <x:v>662.5</x:v>
      </x:c>
      <x:c r="H36" s="21" t="n">
        <x:f>MEDIAN('Прогоны'!I31:I33)</x:f>
        <x:v>51</x:v>
      </x:c>
      <x:c r="I36" s="21" t="n">
        <x:f>MIN('Прогоны'!I31:I33)</x:f>
        <x:v>43</x:v>
      </x:c>
      <x:c r="J36" s="21" t="n">
        <x:f>MAX('Прогоны'!I31:I33)</x:f>
        <x:v>52</x:v>
      </x:c>
      <x:c r="K36" s="21" t="n">
        <x:f>H36-E36</x:f>
        <x:v>-529.5</x:v>
      </x:c>
      <x:c r="L36" s="43" t="n">
        <x:f>IF(E36=0,"",K36/E36)</x:f>
        <x:v>-0.9121447028423773</x:v>
      </x:c>
    </x:row>
    <x:row r="37" ht="43" customHeight="1">
      <x:c r="A37" s="17" t="str">
        <x:v>Генеральная уборка</x:v>
      </x:c>
      <x:c r="B37" s="17" t="str">
        <x:v>Телефон</x:v>
      </x:c>
      <x:c r="C37" s="17" t="str">
        <x:v>Сдвиги элементов, CLS</x:v>
      </x:c>
      <x:c r="D37" s="17" t="str">
        <x:v>коэффициент</x:v>
      </x:c>
      <x:c r="E37" s="32" t="n">
        <x:f>MEDIAN('Прогоны'!J13:J15)</x:f>
        <x:v>0.0001840295391003787</x:v>
      </x:c>
      <x:c r="F37" s="32" t="n">
        <x:f>MIN('Прогоны'!J13:J15)</x:f>
        <x:v>0.0001840295391003787</x:v>
      </x:c>
      <x:c r="G37" s="32" t="n">
        <x:f>MAX('Прогоны'!J13:J15)</x:f>
        <x:v>0.0001840295391003787</x:v>
      </x:c>
      <x:c r="H37" s="32" t="n">
        <x:f>MEDIAN('Прогоны'!J31:J33)</x:f>
        <x:v>0</x:v>
      </x:c>
      <x:c r="I37" s="32" t="n">
        <x:f>MIN('Прогоны'!J31:J33)</x:f>
        <x:v>0</x:v>
      </x:c>
      <x:c r="J37" s="32" t="n">
        <x:f>MAX('Прогоны'!J31:J33)</x:f>
        <x:v>0.00006358583500249919</x:v>
      </x:c>
      <x:c r="K37" s="32" t="n">
        <x:f>H37-E37</x:f>
        <x:v>-0.0001840295391003787</x:v>
      </x:c>
      <x:c r="L37" s="44" t="n">
        <x:f>IF(E37=0,"",K37/E37)</x:f>
        <x:v>-1</x:v>
      </x:c>
    </x:row>
    <x:row r="38" ht="43" customHeight="1">
      <x:c r="A38" s="3" t="str">
        <x:v>Генеральная уборка</x:v>
      </x:c>
      <x:c r="B38" s="3" t="str">
        <x:v>Телефон</x:v>
      </x:c>
      <x:c r="C38" s="3" t="str">
        <x:v>Заполнение экрана, Speed Index</x:v>
      </x:c>
      <x:c r="D38" s="3" t="str">
        <x:v>с</x:v>
      </x:c>
      <x:c r="E38" s="29" t="n">
        <x:f>MEDIAN('Прогоны'!K13:K15)</x:f>
        <x:v>11.763597675966441</x:v>
      </x:c>
      <x:c r="F38" s="29" t="n">
        <x:f>MIN('Прогоны'!K13:K15)</x:f>
        <x:v>10.66660706134776</x:v>
      </x:c>
      <x:c r="G38" s="29" t="n">
        <x:f>MAX('Прогоны'!K13:K15)</x:f>
        <x:v>13.120923562790363</x:v>
      </x:c>
      <x:c r="H38" s="29" t="n">
        <x:f>MEDIAN('Прогоны'!K31:K33)</x:f>
        <x:v>6.548319960394135</x:v>
      </x:c>
      <x:c r="I38" s="29" t="n">
        <x:f>MIN('Прогоны'!K31:K33)</x:f>
        <x:v>6.474580438180172</x:v>
      </x:c>
      <x:c r="J38" s="29" t="n">
        <x:f>MAX('Прогоны'!K31:K33)</x:f>
        <x:v>6.616102492974162</x:v>
      </x:c>
      <x:c r="K38" s="29" t="n">
        <x:f>H38-E38</x:f>
        <x:v>-5.215277715572306</x:v>
      </x:c>
      <x:c r="L38" s="43" t="n">
        <x:f>IF(E38=0,"",K38/E38)</x:f>
        <x:v>-0.44334036739690214</x:v>
      </x:c>
    </x:row>
    <x:row r="39" ht="43" customHeight="1">
      <x:c r="A39" s="17" t="str">
        <x:v>Генеральная уборка</x:v>
      </x:c>
      <x:c r="B39" s="17" t="str">
        <x:v>Телефон</x:v>
      </x:c>
      <x:c r="C39" s="17" t="str">
        <x:v>Ответ сервера</x:v>
      </x:c>
      <x:c r="D39" s="17" t="str">
        <x:v>мс</x:v>
      </x:c>
      <x:c r="E39" s="20" t="n">
        <x:f>MEDIAN('Прогоны'!L13:L15)</x:f>
        <x:v>1342</x:v>
      </x:c>
      <x:c r="F39" s="20" t="n">
        <x:f>MIN('Прогоны'!L13:L15)</x:f>
        <x:v>1069</x:v>
      </x:c>
      <x:c r="G39" s="20" t="n">
        <x:f>MAX('Прогоны'!L13:L15)</x:f>
        <x:v>1496</x:v>
      </x:c>
      <x:c r="H39" s="20" t="n">
        <x:f>MEDIAN('Прогоны'!L31:L33)</x:f>
        <x:v>1028</x:v>
      </x:c>
      <x:c r="I39" s="20" t="n">
        <x:f>MIN('Прогоны'!L31:L33)</x:f>
        <x:v>1025</x:v>
      </x:c>
      <x:c r="J39" s="20" t="n">
        <x:f>MAX('Прогоны'!L31:L33)</x:f>
        <x:v>1078</x:v>
      </x:c>
      <x:c r="K39" s="20" t="n">
        <x:f>H39-E39</x:f>
        <x:v>-314</x:v>
      </x:c>
      <x:c r="L39" s="44" t="n">
        <x:f>IF(E39=0,"",K39/E39)</x:f>
        <x:v>-0.23397913561847988</x:v>
      </x:c>
    </x:row>
    <x:row r="40" ht="43" customHeight="1">
      <x:c r="A40" s="3" t="str">
        <x:v>Генеральная уборка</x:v>
      </x:c>
      <x:c r="B40" s="3" t="str">
        <x:v>Телефон</x:v>
      </x:c>
      <x:c r="C40" s="3" t="str">
        <x:v>Загрузка страницы</x:v>
      </x:c>
      <x:c r="D40" s="3" t="str">
        <x:v>байт</x:v>
      </x:c>
      <x:c r="E40" s="21" t="n">
        <x:f>MEDIAN('Прогоны'!M13:M15)</x:f>
        <x:v>11451394</x:v>
      </x:c>
      <x:c r="F40" s="21" t="n">
        <x:f>MIN('Прогоны'!M13:M15)</x:f>
        <x:v>10564794</x:v>
      </x:c>
      <x:c r="G40" s="21" t="n">
        <x:f>MAX('Прогоны'!M13:M15)</x:f>
        <x:v>11590321</x:v>
      </x:c>
      <x:c r="H40" s="21" t="n">
        <x:f>MEDIAN('Прогоны'!M31:M33)</x:f>
        <x:v>1654171</x:v>
      </x:c>
      <x:c r="I40" s="21" t="n">
        <x:f>MIN('Прогоны'!M31:M33)</x:f>
        <x:v>1654104</x:v>
      </x:c>
      <x:c r="J40" s="21" t="n">
        <x:f>MAX('Прогоны'!M31:M33)</x:f>
        <x:v>1654521</x:v>
      </x:c>
      <x:c r="K40" s="21" t="n">
        <x:f>H40-E40</x:f>
        <x:v>-9797223</x:v>
      </x:c>
      <x:c r="L40" s="43" t="n">
        <x:f>IF(E40=0,"",K40/E40)</x:f>
        <x:v>-0.8555485035271688</x:v>
      </x:c>
    </x:row>
    <x:row r="41" ht="43" customHeight="1">
      <x:c r="A41" s="17" t="str">
        <x:v>Генеральная уборка</x:v>
      </x:c>
      <x:c r="B41" s="17" t="str">
        <x:v>Телефон</x:v>
      </x:c>
      <x:c r="C41" s="17" t="str">
        <x:v>Изображения</x:v>
      </x:c>
      <x:c r="D41" s="17" t="str">
        <x:v>байт</x:v>
      </x:c>
      <x:c r="E41" s="20" t="n">
        <x:f>MEDIAN('Прогоны'!N13:N15)</x:f>
        <x:v>2470297</x:v>
      </x:c>
      <x:c r="F41" s="20" t="n">
        <x:f>MIN('Прогоны'!N13:N15)</x:f>
        <x:v>2470086</x:v>
      </x:c>
      <x:c r="G41" s="20" t="n">
        <x:f>MAX('Прогоны'!N13:N15)</x:f>
        <x:v>2471436</x:v>
      </x:c>
      <x:c r="H41" s="20" t="n">
        <x:f>MEDIAN('Прогоны'!N31:N33)</x:f>
        <x:v>1138846</x:v>
      </x:c>
      <x:c r="I41" s="20" t="n">
        <x:f>MIN('Прогоны'!N31:N33)</x:f>
        <x:v>1138817</x:v>
      </x:c>
      <x:c r="J41" s="20" t="n">
        <x:f>MAX('Прогоны'!N31:N33)</x:f>
        <x:v>1139160</x:v>
      </x:c>
      <x:c r="K41" s="20" t="n">
        <x:f>H41-E41</x:f>
        <x:v>-1331451</x:v>
      </x:c>
      <x:c r="L41" s="44" t="n">
        <x:f>IF(E41=0,"",K41/E41)</x:f>
        <x:v>-0.538984178825461</x:v>
      </x:c>
    </x:row>
    <x:row r="42" ht="43" customHeight="1">
      <x:c r="A42" s="3" t="str">
        <x:v>Генеральная уборка</x:v>
      </x:c>
      <x:c r="B42" s="3" t="str">
        <x:v>Телефон</x:v>
      </x:c>
      <x:c r="C42" s="3" t="str">
        <x:v>Скрипты</x:v>
      </x:c>
      <x:c r="D42" s="3" t="str">
        <x:v>байт</x:v>
      </x:c>
      <x:c r="E42" s="21" t="n">
        <x:f>MEDIAN('Прогоны'!O13:O15)</x:f>
        <x:v>3296493</x:v>
      </x:c>
      <x:c r="F42" s="21" t="n">
        <x:f>MIN('Прогоны'!O13:O15)</x:f>
        <x:v>3296473</x:v>
      </x:c>
      <x:c r="G42" s="21" t="n">
        <x:f>MAX('Прогоны'!O13:O15)</x:f>
        <x:v>3298897</x:v>
      </x:c>
      <x:c r="H42" s="21" t="n">
        <x:f>MEDIAN('Прогоны'!O31:O33)</x:f>
        <x:v>305240</x:v>
      </x:c>
      <x:c r="I42" s="21" t="n">
        <x:f>MIN('Прогоны'!O31:O33)</x:f>
        <x:v>305222</x:v>
      </x:c>
      <x:c r="J42" s="21" t="n">
        <x:f>MAX('Прогоны'!O31:O33)</x:f>
        <x:v>305258</x:v>
      </x:c>
      <x:c r="K42" s="21" t="n">
        <x:f>H42-E42</x:f>
        <x:v>-2991253</x:v>
      </x:c>
      <x:c r="L42" s="43" t="n">
        <x:f>IF(E42=0,"",K42/E42)</x:f>
        <x:v>-0.9074046266744689</x:v>
      </x:c>
    </x:row>
    <x:row r="43" ht="43" customHeight="1">
      <x:c r="A43" s="17" t="str">
        <x:v>Генеральная уборка</x:v>
      </x:c>
      <x:c r="B43" s="17" t="str">
        <x:v>Телефон</x:v>
      </x:c>
      <x:c r="C43" s="17" t="str">
        <x:v>Шрифты</x:v>
      </x:c>
      <x:c r="D43" s="17" t="str">
        <x:v>байт</x:v>
      </x:c>
      <x:c r="E43" s="20" t="n">
        <x:f>MEDIAN('Прогоны'!P13:P15)</x:f>
        <x:v>114149</x:v>
      </x:c>
      <x:c r="F43" s="20" t="n">
        <x:f>MIN('Прогоны'!P13:P15)</x:f>
        <x:v>114149</x:v>
      </x:c>
      <x:c r="G43" s="20" t="n">
        <x:f>MAX('Прогоны'!P13:P15)</x:f>
        <x:v>114149</x:v>
      </x:c>
      <x:c r="H43" s="20" t="n">
        <x:f>MEDIAN('Прогоны'!P31:P33)</x:f>
        <x:v>114149</x:v>
      </x:c>
      <x:c r="I43" s="20" t="n">
        <x:f>MIN('Прогоны'!P31:P33)</x:f>
        <x:v>114149</x:v>
      </x:c>
      <x:c r="J43" s="20" t="n">
        <x:f>MAX('Прогоны'!P31:P33)</x:f>
        <x:v>114149</x:v>
      </x:c>
      <x:c r="K43" s="20" t="n">
        <x:f>H43-E43</x:f>
        <x:v>0</x:v>
      </x:c>
      <x:c r="L43" s="44" t="n">
        <x:f>IF(E43=0,"",K43/E43)</x:f>
        <x:v>0</x:v>
      </x:c>
    </x:row>
    <x:row r="44" ht="43" customHeight="1">
      <x:c r="A44" s="3" t="str">
        <x:v>Генеральная уборка</x:v>
      </x:c>
      <x:c r="B44" s="3" t="str">
        <x:v>Телефон</x:v>
      </x:c>
      <x:c r="C44" s="3" t="str">
        <x:v>Стили</x:v>
      </x:c>
      <x:c r="D44" s="3" t="str">
        <x:v>байт</x:v>
      </x:c>
      <x:c r="E44" s="21" t="n">
        <x:f>MEDIAN('Прогоны'!Q13:Q15)</x:f>
        <x:v>197930</x:v>
      </x:c>
      <x:c r="F44" s="21" t="n">
        <x:f>MIN('Прогоны'!Q13:Q15)</x:f>
        <x:v>197926</x:v>
      </x:c>
      <x:c r="G44" s="21" t="n">
        <x:f>MAX('Прогоны'!Q13:Q15)</x:f>
        <x:v>198088</x:v>
      </x:c>
      <x:c r="H44" s="21" t="n">
        <x:f>MEDIAN('Прогоны'!Q31:Q33)</x:f>
        <x:v>30727</x:v>
      </x:c>
      <x:c r="I44" s="21" t="n">
        <x:f>MIN('Прогоны'!Q31:Q33)</x:f>
        <x:v>30727</x:v>
      </x:c>
      <x:c r="J44" s="21" t="n">
        <x:f>MAX('Прогоны'!Q31:Q33)</x:f>
        <x:v>30727</x:v>
      </x:c>
      <x:c r="K44" s="21" t="n">
        <x:f>H44-E44</x:f>
        <x:v>-167203</x:v>
      </x:c>
      <x:c r="L44" s="43" t="n">
        <x:f>IF(E44=0,"",K44/E44)</x:f>
        <x:v>-0.844758247865407</x:v>
      </x:c>
    </x:row>
    <x:row r="45" ht="43" customHeight="1">
      <x:c r="A45" s="17" t="str">
        <x:v>Генеральная уборка</x:v>
      </x:c>
      <x:c r="B45" s="17" t="str">
        <x:v>Телефон</x:v>
      </x:c>
      <x:c r="C45" s="17" t="str">
        <x:v>Запросы</x:v>
      </x:c>
      <x:c r="D45" s="17" t="str">
        <x:v>шт.</x:v>
      </x:c>
      <x:c r="E45" s="20" t="n">
        <x:f>MEDIAN('Прогоны'!R13:R15)</x:f>
        <x:v>219</x:v>
      </x:c>
      <x:c r="F45" s="20" t="n">
        <x:f>MIN('Прогоны'!R13:R15)</x:f>
        <x:v>218</x:v>
      </x:c>
      <x:c r="G45" s="20" t="n">
        <x:f>MAX('Прогоны'!R13:R15)</x:f>
        <x:v>220</x:v>
      </x:c>
      <x:c r="H45" s="20" t="n">
        <x:f>MEDIAN('Прогоны'!R31:R33)</x:f>
        <x:v>61</x:v>
      </x:c>
      <x:c r="I45" s="20" t="n">
        <x:f>MIN('Прогоны'!R31:R33)</x:f>
        <x:v>61</x:v>
      </x:c>
      <x:c r="J45" s="20" t="n">
        <x:f>MAX('Прогоны'!R31:R33)</x:f>
        <x:v>61</x:v>
      </x:c>
      <x:c r="K45" s="20" t="n">
        <x:f>H45-E45</x:f>
        <x:v>-158</x:v>
      </x:c>
      <x:c r="L45" s="44" t="n">
        <x:f>IF(E45=0,"",K45/E45)</x:f>
        <x:v>-0.7214611872146118</x:v>
      </x:c>
    </x:row>
    <x:row r="46" ht="43" customHeight="1">
      <x:c r="A46" s="36" t="str">
        <x:v>Генеральная уборка</x:v>
      </x:c>
      <x:c r="B46" s="36" t="str">
        <x:v>Компьютер</x:v>
      </x:c>
      <x:c r="C46" s="36" t="str">
        <x:v>Lighthouse</x:v>
      </x:c>
      <x:c r="D46" s="36" t="str">
        <x:v>баллы</x:v>
      </x:c>
      <x:c r="E46" s="37" t="n">
        <x:f>MEDIAN('Прогоны'!F16:F18)</x:f>
        <x:v>56.99999999999999</x:v>
      </x:c>
      <x:c r="F46" s="37" t="n">
        <x:f>MIN('Прогоны'!F16:F18)</x:f>
        <x:v>56.00000000000001</x:v>
      </x:c>
      <x:c r="G46" s="37" t="n">
        <x:f>MAX('Прогоны'!F16:F18)</x:f>
        <x:v>57.99999999999999</x:v>
      </x:c>
      <x:c r="H46" s="37" t="n">
        <x:f>MEDIAN('Прогоны'!F34:F36)</x:f>
        <x:v>70</x:v>
      </x:c>
      <x:c r="I46" s="37" t="n">
        <x:f>MIN('Прогоны'!F34:F36)</x:f>
        <x:v>70</x:v>
      </x:c>
      <x:c r="J46" s="37" t="n">
        <x:f>MAX('Прогоны'!F34:F36)</x:f>
        <x:v>71</x:v>
      </x:c>
      <x:c r="K46" s="37" t="n">
        <x:f>H46-E46</x:f>
        <x:v>13.000000000000007</x:v>
      </x:c>
      <x:c r="L46" s="45" t="n">
        <x:f>IF(E46=0,"",K46/E46)</x:f>
        <x:v>0.22807017543859665</x:v>
      </x:c>
    </x:row>
    <x:row r="47" ht="43" customHeight="1">
      <x:c r="A47" s="17" t="str">
        <x:v>Генеральная уборка</x:v>
      </x:c>
      <x:c r="B47" s="17" t="str">
        <x:v>Компьютер</x:v>
      </x:c>
      <x:c r="C47" s="17" t="str">
        <x:v>Первый видимый контент, FCP</x:v>
      </x:c>
      <x:c r="D47" s="17" t="str">
        <x:v>с</x:v>
      </x:c>
      <x:c r="E47" s="28" t="n">
        <x:f>MEDIAN('Прогоны'!G16:G18)</x:f>
        <x:v>3.4955282475000002</x:v>
      </x:c>
      <x:c r="F47" s="28" t="n">
        <x:f>MIN('Прогоны'!G16:G18)</x:f>
        <x:v>3.3957752</x:v>
      </x:c>
      <x:c r="G47" s="28" t="n">
        <x:f>MAX('Прогоны'!G16:G18)</x:f>
        <x:v>4.67702102</x:v>
      </x:c>
      <x:c r="H47" s="28" t="n">
        <x:f>MEDIAN('Прогоны'!G34:G36)</x:f>
        <x:v>2.2797315000000005</x:v>
      </x:c>
      <x:c r="I47" s="28" t="n">
        <x:f>MIN('Прогоны'!G34:G36)</x:f>
        <x:v>2.1996153400000003</x:v>
      </x:c>
      <x:c r="J47" s="28" t="n">
        <x:f>MAX('Прогоны'!G34:G36)</x:f>
        <x:v>2.3294348</x:v>
      </x:c>
      <x:c r="K47" s="28" t="n">
        <x:f>H47-E47</x:f>
        <x:v>-1.2157967474999998</x:v>
      </x:c>
      <x:c r="L47" s="44" t="n">
        <x:f>IF(E47=0,"",K47/E47)</x:f>
        <x:v>-0.34781488273468736</x:v>
      </x:c>
    </x:row>
    <x:row r="48" ht="43" customHeight="1">
      <x:c r="A48" s="3" t="str">
        <x:v>Генеральная уборка</x:v>
      </x:c>
      <x:c r="B48" s="3" t="str">
        <x:v>Компьютер</x:v>
      </x:c>
      <x:c r="C48" s="3" t="str">
        <x:v>Главный элемент, LCP</x:v>
      </x:c>
      <x:c r="D48" s="3" t="str">
        <x:v>с</x:v>
      </x:c>
      <x:c r="E48" s="29" t="n">
        <x:f>MEDIAN('Прогоны'!H16:H18)</x:f>
        <x:v>5.063547600000001</x:v>
      </x:c>
      <x:c r="F48" s="29" t="n">
        <x:f>MIN('Прогоны'!H16:H18)</x:f>
        <x:v>4.835590102499999</x:v>
      </x:c>
      <x:c r="G48" s="29" t="n">
        <x:f>MAX('Прогоны'!H16:H18)</x:f>
        <x:v>5.84207772</x:v>
      </x:c>
      <x:c r="H48" s="29" t="n">
        <x:f>MEDIAN('Прогоны'!H34:H36)</x:f>
        <x:v>2.5917877500000004</x:v>
      </x:c>
      <x:c r="I48" s="29" t="n">
        <x:f>MIN('Прогоны'!H34:H36)</x:f>
        <x:v>2.4934677300000003</x:v>
      </x:c>
      <x:c r="J48" s="29" t="n">
        <x:f>MAX('Прогоны'!H34:H36)</x:f>
        <x:v>2.6475376</x:v>
      </x:c>
      <x:c r="K48" s="29" t="n">
        <x:f>H48-E48</x:f>
        <x:v>-2.47175985</x:v>
      </x:c>
      <x:c r="L48" s="43" t="n">
        <x:f>IF(E48=0,"",K48/E48)</x:f>
        <x:v>-0.48814784519849286</x:v>
      </x:c>
    </x:row>
    <x:row r="49" ht="43" customHeight="1">
      <x:c r="A49" s="17" t="str">
        <x:v>Генеральная уборка</x:v>
      </x:c>
      <x:c r="B49" s="17" t="str">
        <x:v>Компьютер</x:v>
      </x:c>
      <x:c r="C49" s="17" t="str">
        <x:v>Блокировка интерфейса, TBT</x:v>
      </x:c>
      <x:c r="D49" s="17" t="str">
        <x:v>мс</x:v>
      </x:c>
      <x:c r="E49" s="20" t="n">
        <x:f>MEDIAN('Прогоны'!I16:I18)</x:f>
        <x:v>3.5</x:v>
      </x:c>
      <x:c r="F49" s="20" t="n">
        <x:f>MIN('Прогоны'!I16:I18)</x:f>
        <x:v>1.5</x:v>
      </x:c>
      <x:c r="G49" s="20" t="n">
        <x:f>MAX('Прогоны'!I16:I18)</x:f>
        <x:v>7</x:v>
      </x:c>
      <x:c r="H49" s="20" t="n">
        <x:f>MEDIAN('Прогоны'!I34:I36)</x:f>
        <x:v>0</x:v>
      </x:c>
      <x:c r="I49" s="20" t="n">
        <x:f>MIN('Прогоны'!I34:I36)</x:f>
        <x:v>0</x:v>
      </x:c>
      <x:c r="J49" s="20" t="n">
        <x:f>MAX('Прогоны'!I34:I36)</x:f>
        <x:v>0</x:v>
      </x:c>
      <x:c r="K49" s="20" t="n">
        <x:f>H49-E49</x:f>
        <x:v>-3.5</x:v>
      </x:c>
      <x:c r="L49" s="44" t="n">
        <x:f>IF(E49=0,"",K49/E49)</x:f>
        <x:v>-1</x:v>
      </x:c>
    </x:row>
    <x:row r="50" ht="43" customHeight="1">
      <x:c r="A50" s="3" t="str">
        <x:v>Генеральная уборка</x:v>
      </x:c>
      <x:c r="B50" s="3" t="str">
        <x:v>Компьютер</x:v>
      </x:c>
      <x:c r="C50" s="3" t="str">
        <x:v>Сдвиги элементов, CLS</x:v>
      </x:c>
      <x:c r="D50" s="3" t="str">
        <x:v>коэффициент</x:v>
      </x:c>
      <x:c r="E50" s="33" t="n">
        <x:f>MEDIAN('Прогоны'!J16:J18)</x:f>
        <x:v>0.00007612675167276858</x:v>
      </x:c>
      <x:c r="F50" s="33" t="n">
        <x:f>MIN('Прогоны'!J16:J18)</x:f>
        <x:v>0.00007385848970164296</x:v>
      </x:c>
      <x:c r="G50" s="33" t="n">
        <x:f>MAX('Прогоны'!J16:J18)</x:f>
        <x:v>0.0003902137329533398</x:v>
      </x:c>
      <x:c r="H50" s="33" t="n">
        <x:f>MEDIAN('Прогоны'!J34:J36)</x:f>
        <x:v>0.00007612675167276858</x:v>
      </x:c>
      <x:c r="I50" s="33" t="n">
        <x:f>MIN('Прогоны'!J34:J36)</x:f>
        <x:v>0.00007385848970164296</x:v>
      </x:c>
      <x:c r="J50" s="33" t="n">
        <x:f>MAX('Прогоны'!J34:J36)</x:f>
        <x:v>0.00007612675167276858</x:v>
      </x:c>
      <x:c r="K50" s="33" t="n">
        <x:f>H50-E50</x:f>
        <x:v>0</x:v>
      </x:c>
      <x:c r="L50" s="43" t="n">
        <x:f>IF(E50=0,"",K50/E50)</x:f>
        <x:v>0</x:v>
      </x:c>
    </x:row>
    <x:row r="51" ht="43" customHeight="1">
      <x:c r="A51" s="17" t="str">
        <x:v>Генеральная уборка</x:v>
      </x:c>
      <x:c r="B51" s="17" t="str">
        <x:v>Компьютер</x:v>
      </x:c>
      <x:c r="C51" s="17" t="str">
        <x:v>Заполнение экрана, Speed Index</x:v>
      </x:c>
      <x:c r="D51" s="17" t="str">
        <x:v>с</x:v>
      </x:c>
      <x:c r="E51" s="28" t="n">
        <x:f>MEDIAN('Прогоны'!K16:K18)</x:f>
        <x:v>5.550463038922551</x:v>
      </x:c>
      <x:c r="F51" s="28" t="n">
        <x:f>MIN('Прогоны'!K16:K18)</x:f>
        <x:v>5.193609192490385</x:v>
      </x:c>
      <x:c r="G51" s="28" t="n">
        <x:f>MAX('Прогоны'!K16:K18)</x:f>
        <x:v>6.78455709351671</x:v>
      </x:c>
      <x:c r="H51" s="28" t="n">
        <x:f>MEDIAN('Прогоны'!K34:K36)</x:f>
        <x:v>3.115103424918794</x:v>
      </x:c>
      <x:c r="I51" s="28" t="n">
        <x:f>MIN('Прогоны'!K34:K36)</x:f>
        <x:v>3.106523703865461</x:v>
      </x:c>
      <x:c r="J51" s="28" t="n">
        <x:f>MAX('Прогоны'!K34:K36)</x:f>
        <x:v>3.155927770020351</x:v>
      </x:c>
      <x:c r="K51" s="28" t="n">
        <x:f>H51-E51</x:f>
        <x:v>-2.4353596140037572</x:v>
      </x:c>
      <x:c r="L51" s="44" t="n">
        <x:f>IF(E51=0,"",K51/E51)</x:f>
        <x:v>-0.43876692753844665</x:v>
      </x:c>
    </x:row>
    <x:row r="52" ht="43" customHeight="1">
      <x:c r="A52" s="3" t="str">
        <x:v>Генеральная уборка</x:v>
      </x:c>
      <x:c r="B52" s="3" t="str">
        <x:v>Компьютер</x:v>
      </x:c>
      <x:c r="C52" s="3" t="str">
        <x:v>Ответ сервера</x:v>
      </x:c>
      <x:c r="D52" s="3" t="str">
        <x:v>мс</x:v>
      </x:c>
      <x:c r="E52" s="21" t="n">
        <x:f>MEDIAN('Прогоны'!L16:L18)</x:f>
        <x:v>1113</x:v>
      </x:c>
      <x:c r="F52" s="21" t="n">
        <x:f>MIN('Прогоны'!L16:L18)</x:f>
        <x:v>1067</x:v>
      </x:c>
      <x:c r="G52" s="21" t="n">
        <x:f>MAX('Прогоны'!L16:L18)</x:f>
        <x:v>1145</x:v>
      </x:c>
      <x:c r="H52" s="21" t="n">
        <x:f>MEDIAN('Прогоны'!L34:L36)</x:f>
        <x:v>1084</x:v>
      </x:c>
      <x:c r="I52" s="21" t="n">
        <x:f>MIN('Прогоны'!L34:L36)</x:f>
        <x:v>1057</x:v>
      </x:c>
      <x:c r="J52" s="21" t="n">
        <x:f>MAX('Прогоны'!L34:L36)</x:f>
        <x:v>1141</x:v>
      </x:c>
      <x:c r="K52" s="21" t="n">
        <x:f>H52-E52</x:f>
        <x:v>-29</x:v>
      </x:c>
      <x:c r="L52" s="43" t="n">
        <x:f>IF(E52=0,"",K52/E52)</x:f>
        <x:v>-0.02605570530098832</x:v>
      </x:c>
    </x:row>
    <x:row r="53" ht="43" customHeight="1">
      <x:c r="A53" s="17" t="str">
        <x:v>Генеральная уборка</x:v>
      </x:c>
      <x:c r="B53" s="17" t="str">
        <x:v>Компьютер</x:v>
      </x:c>
      <x:c r="C53" s="17" t="str">
        <x:v>Загрузка страницы</x:v>
      </x:c>
      <x:c r="D53" s="17" t="str">
        <x:v>байт</x:v>
      </x:c>
      <x:c r="E53" s="20" t="n">
        <x:f>MEDIAN('Прогоны'!M16:M18)</x:f>
        <x:v>14796076</x:v>
      </x:c>
      <x:c r="F53" s="20" t="n">
        <x:f>MIN('Прогоны'!M16:M18)</x:f>
        <x:v>13182017</x:v>
      </x:c>
      <x:c r="G53" s="20" t="n">
        <x:f>MAX('Прогоны'!M16:M18)</x:f>
        <x:v>14845319</x:v>
      </x:c>
      <x:c r="H53" s="20" t="n">
        <x:f>MEDIAN('Прогоны'!M34:M36)</x:f>
        <x:v>2208595</x:v>
      </x:c>
      <x:c r="I53" s="20" t="n">
        <x:f>MIN('Прогоны'!M34:M36)</x:f>
        <x:v>2208588</x:v>
      </x:c>
      <x:c r="J53" s="20" t="n">
        <x:f>MAX('Прогоны'!M34:M36)</x:f>
        <x:v>2208724</x:v>
      </x:c>
      <x:c r="K53" s="20" t="n">
        <x:f>H53-E53</x:f>
        <x:v>-12587481</x:v>
      </x:c>
      <x:c r="L53" s="44" t="n">
        <x:f>IF(E53=0,"",K53/E53)</x:f>
        <x:v>-0.8507310316600158</x:v>
      </x:c>
    </x:row>
    <x:row r="54" ht="43" customHeight="1">
      <x:c r="A54" s="3" t="str">
        <x:v>Генеральная уборка</x:v>
      </x:c>
      <x:c r="B54" s="3" t="str">
        <x:v>Компьютер</x:v>
      </x:c>
      <x:c r="C54" s="3" t="str">
        <x:v>Изображения</x:v>
      </x:c>
      <x:c r="D54" s="3" t="str">
        <x:v>байт</x:v>
      </x:c>
      <x:c r="E54" s="21" t="n">
        <x:f>MEDIAN('Прогоны'!N16:N18)</x:f>
        <x:v>2518760</x:v>
      </x:c>
      <x:c r="F54" s="21" t="n">
        <x:f>MIN('Прогоны'!N16:N18)</x:f>
        <x:v>2518255</x:v>
      </x:c>
      <x:c r="G54" s="21" t="n">
        <x:f>MAX('Прогоны'!N16:N18)</x:f>
        <x:v>2519243</x:v>
      </x:c>
      <x:c r="H54" s="21" t="n">
        <x:f>MEDIAN('Прогоны'!N34:N36)</x:f>
        <x:v>1693235</x:v>
      </x:c>
      <x:c r="I54" s="21" t="n">
        <x:f>MIN('Прогоны'!N34:N36)</x:f>
        <x:v>1693232</x:v>
      </x:c>
      <x:c r="J54" s="21" t="n">
        <x:f>MAX('Прогоны'!N34:N36)</x:f>
        <x:v>1693236</x:v>
      </x:c>
      <x:c r="K54" s="21" t="n">
        <x:f>H54-E54</x:f>
        <x:v>-825525</x:v>
      </x:c>
      <x:c r="L54" s="43" t="n">
        <x:f>IF(E54=0,"",K54/E54)</x:f>
        <x:v>-0.3277505597992663</x:v>
      </x:c>
    </x:row>
    <x:row r="55" ht="43" customHeight="1">
      <x:c r="A55" s="17" t="str">
        <x:v>Генеральная уборка</x:v>
      </x:c>
      <x:c r="B55" s="17" t="str">
        <x:v>Компьютер</x:v>
      </x:c>
      <x:c r="C55" s="17" t="str">
        <x:v>Скрипты</x:v>
      </x:c>
      <x:c r="D55" s="17" t="str">
        <x:v>байт</x:v>
      </x:c>
      <x:c r="E55" s="20" t="n">
        <x:f>MEDIAN('Прогоны'!O16:O18)</x:f>
        <x:v>2415142</x:v>
      </x:c>
      <x:c r="F55" s="20" t="n">
        <x:f>MIN('Прогоны'!O16:O18)</x:f>
        <x:v>2415123</x:v>
      </x:c>
      <x:c r="G55" s="20" t="n">
        <x:f>MAX('Прогоны'!O16:O18)</x:f>
        <x:v>2416116</x:v>
      </x:c>
      <x:c r="H55" s="20" t="n">
        <x:f>MEDIAN('Прогоны'!O34:O36)</x:f>
        <x:v>305243</x:v>
      </x:c>
      <x:c r="I55" s="20" t="n">
        <x:f>MIN('Прогоны'!O34:O36)</x:f>
        <x:v>305227</x:v>
      </x:c>
      <x:c r="J55" s="20" t="n">
        <x:f>MAX('Прогоны'!O34:O36)</x:f>
        <x:v>305350</x:v>
      </x:c>
      <x:c r="K55" s="20" t="n">
        <x:f>H55-E55</x:f>
        <x:v>-2109899</x:v>
      </x:c>
      <x:c r="L55" s="44" t="n">
        <x:f>IF(E55=0,"",K55/E55)</x:f>
        <x:v>-0.8736128144846141</x:v>
      </x:c>
    </x:row>
    <x:row r="56" ht="43" customHeight="1">
      <x:c r="A56" s="3" t="str">
        <x:v>Генеральная уборка</x:v>
      </x:c>
      <x:c r="B56" s="3" t="str">
        <x:v>Компьютер</x:v>
      </x:c>
      <x:c r="C56" s="3" t="str">
        <x:v>Шрифты</x:v>
      </x:c>
      <x:c r="D56" s="3" t="str">
        <x:v>байт</x:v>
      </x:c>
      <x:c r="E56" s="21" t="n">
        <x:f>MEDIAN('Прогоны'!P16:P18)</x:f>
        <x:v>114149</x:v>
      </x:c>
      <x:c r="F56" s="21" t="n">
        <x:f>MIN('Прогоны'!P16:P18)</x:f>
        <x:v>114149</x:v>
      </x:c>
      <x:c r="G56" s="21" t="n">
        <x:f>MAX('Прогоны'!P16:P18)</x:f>
        <x:v>114149</x:v>
      </x:c>
      <x:c r="H56" s="21" t="n">
        <x:f>MEDIAN('Прогоны'!P34:P36)</x:f>
        <x:v>114149</x:v>
      </x:c>
      <x:c r="I56" s="21" t="n">
        <x:f>MIN('Прогоны'!P34:P36)</x:f>
        <x:v>114149</x:v>
      </x:c>
      <x:c r="J56" s="21" t="n">
        <x:f>MAX('Прогоны'!P34:P36)</x:f>
        <x:v>114149</x:v>
      </x:c>
      <x:c r="K56" s="21" t="n">
        <x:f>H56-E56</x:f>
        <x:v>0</x:v>
      </x:c>
      <x:c r="L56" s="43" t="n">
        <x:f>IF(E56=0,"",K56/E56)</x:f>
        <x:v>0</x:v>
      </x:c>
    </x:row>
    <x:row r="57" ht="43" customHeight="1">
      <x:c r="A57" s="17" t="str">
        <x:v>Генеральная уборка</x:v>
      </x:c>
      <x:c r="B57" s="17" t="str">
        <x:v>Компьютер</x:v>
      </x:c>
      <x:c r="C57" s="17" t="str">
        <x:v>Стили</x:v>
      </x:c>
      <x:c r="D57" s="17" t="str">
        <x:v>байт</x:v>
      </x:c>
      <x:c r="E57" s="20" t="n">
        <x:f>MEDIAN('Прогоны'!Q16:Q18)</x:f>
        <x:v>145580</x:v>
      </x:c>
      <x:c r="F57" s="20" t="n">
        <x:f>MIN('Прогоны'!Q16:Q18)</x:f>
        <x:v>145579</x:v>
      </x:c>
      <x:c r="G57" s="20" t="n">
        <x:f>MAX('Прогоны'!Q16:Q18)</x:f>
        <x:v>145645</x:v>
      </x:c>
      <x:c r="H57" s="20" t="n">
        <x:f>MEDIAN('Прогоны'!Q34:Q36)</x:f>
        <x:v>30727</x:v>
      </x:c>
      <x:c r="I57" s="20" t="n">
        <x:f>MIN('Прогоны'!Q34:Q36)</x:f>
        <x:v>30727</x:v>
      </x:c>
      <x:c r="J57" s="20" t="n">
        <x:f>MAX('Прогоны'!Q34:Q36)</x:f>
        <x:v>30727</x:v>
      </x:c>
      <x:c r="K57" s="20" t="n">
        <x:f>H57-E57</x:f>
        <x:v>-114853</x:v>
      </x:c>
      <x:c r="L57" s="44" t="n">
        <x:f>IF(E57=0,"",K57/E57)</x:f>
        <x:v>-0.788933919494436</x:v>
      </x:c>
    </x:row>
    <x:row r="58" ht="43" customHeight="1">
      <x:c r="A58" s="3" t="str">
        <x:v>Генеральная уборка</x:v>
      </x:c>
      <x:c r="B58" s="3" t="str">
        <x:v>Компьютер</x:v>
      </x:c>
      <x:c r="C58" s="3" t="str">
        <x:v>Запросы</x:v>
      </x:c>
      <x:c r="D58" s="3" t="str">
        <x:v>шт.</x:v>
      </x:c>
      <x:c r="E58" s="21" t="n">
        <x:f>MEDIAN('Прогоны'!R16:R18)</x:f>
        <x:v>234</x:v>
      </x:c>
      <x:c r="F58" s="21" t="n">
        <x:f>MIN('Прогоны'!R16:R18)</x:f>
        <x:v>233</x:v>
      </x:c>
      <x:c r="G58" s="21" t="n">
        <x:f>MAX('Прогоны'!R16:R18)</x:f>
        <x:v>240</x:v>
      </x:c>
      <x:c r="H58" s="21" t="n">
        <x:f>MEDIAN('Прогоны'!R34:R36)</x:f>
        <x:v>62</x:v>
      </x:c>
      <x:c r="I58" s="21" t="n">
        <x:f>MIN('Прогоны'!R34:R36)</x:f>
        <x:v>62</x:v>
      </x:c>
      <x:c r="J58" s="21" t="n">
        <x:f>MAX('Прогоны'!R34:R36)</x:f>
        <x:v>62</x:v>
      </x:c>
      <x:c r="K58" s="21" t="n">
        <x:f>H58-E58</x:f>
        <x:v>-172</x:v>
      </x:c>
      <x:c r="L58" s="43" t="n">
        <x:f>IF(E58=0,"",K58/E58)</x:f>
        <x:v>-0.7350427350427351</x:v>
      </x:c>
    </x:row>
    <x:row r="59" ht="43" customHeight="1">
      <x:c r="A59" s="34" t="str">
        <x:v>Уборка после ремонта</x:v>
      </x:c>
      <x:c r="B59" s="34" t="str">
        <x:v>Телефон</x:v>
      </x:c>
      <x:c r="C59" s="34" t="str">
        <x:v>Lighthouse</x:v>
      </x:c>
      <x:c r="D59" s="34" t="str">
        <x:v>баллы</x:v>
      </x:c>
      <x:c r="E59" s="35" t="n">
        <x:f>MEDIAN('Прогоны'!F19:F21)</x:f>
        <x:v>51</x:v>
      </x:c>
      <x:c r="F59" s="35" t="n">
        <x:f>MIN('Прогоны'!F19:F21)</x:f>
        <x:v>49</x:v>
      </x:c>
      <x:c r="G59" s="35" t="n">
        <x:f>MAX('Прогоны'!F19:F21)</x:f>
        <x:v>63</x:v>
      </x:c>
      <x:c r="H59" s="35" t="n">
        <x:f>MEDIAN('Прогоны'!F37:F39)</x:f>
        <x:v>78</x:v>
      </x:c>
      <x:c r="I59" s="35" t="n">
        <x:f>MIN('Прогоны'!F37:F39)</x:f>
        <x:v>76</x:v>
      </x:c>
      <x:c r="J59" s="35" t="n">
        <x:f>MAX('Прогоны'!F37:F39)</x:f>
        <x:v>79</x:v>
      </x:c>
      <x:c r="K59" s="35" t="n">
        <x:f>H59-E59</x:f>
        <x:v>27</x:v>
      </x:c>
      <x:c r="L59" s="42" t="n">
        <x:f>IF(E59=0,"",K59/E59)</x:f>
        <x:v>0.5294117647058824</x:v>
      </x:c>
    </x:row>
    <x:row r="60" ht="43" customHeight="1">
      <x:c r="A60" s="3" t="str">
        <x:v>Уборка после ремонта</x:v>
      </x:c>
      <x:c r="B60" s="3" t="str">
        <x:v>Телефон</x:v>
      </x:c>
      <x:c r="C60" s="3" t="str">
        <x:v>Первый видимый контент, FCP</x:v>
      </x:c>
      <x:c r="D60" s="3" t="str">
        <x:v>с</x:v>
      </x:c>
      <x:c r="E60" s="29" t="n">
        <x:f>MEDIAN('Прогоны'!G19:G21)</x:f>
        <x:v>5.5249346</x:v>
      </x:c>
      <x:c r="F60" s="29" t="n">
        <x:f>MIN('Прогоны'!G19:G21)</x:f>
        <x:v>4.2721286</x:v>
      </x:c>
      <x:c r="G60" s="29" t="n">
        <x:f>MAX('Прогоны'!G19:G21)</x:f>
        <x:v>7.02115735</x:v>
      </x:c>
      <x:c r="H60" s="29" t="n">
        <x:f>MEDIAN('Прогоны'!G37:G39)</x:f>
        <x:v>3.6232678999999997</x:v>
      </x:c>
      <x:c r="I60" s="29" t="n">
        <x:f>MIN('Прогоны'!G37:G39)</x:f>
        <x:v>3.47327436</x:v>
      </x:c>
      <x:c r="J60" s="29" t="n">
        <x:f>MAX('Прогоны'!G37:G39)</x:f>
        <x:v>3.7309517000000003</x:v>
      </x:c>
      <x:c r="K60" s="29" t="n">
        <x:f>H60-E60</x:f>
        <x:v>-1.9016667000000003</x:v>
      </x:c>
      <x:c r="L60" s="43" t="n">
        <x:f>IF(E60=0,"",K60/E60)</x:f>
        <x:v>-0.3441971421706965</x:v>
      </x:c>
    </x:row>
    <x:row r="61" ht="43" customHeight="1">
      <x:c r="A61" s="17" t="str">
        <x:v>Уборка после ремонта</x:v>
      </x:c>
      <x:c r="B61" s="17" t="str">
        <x:v>Телефон</x:v>
      </x:c>
      <x:c r="C61" s="17" t="str">
        <x:v>Главный элемент, LCP</x:v>
      </x:c>
      <x:c r="D61" s="17" t="str">
        <x:v>с</x:v>
      </x:c>
      <x:c r="E61" s="28" t="n">
        <x:f>MEDIAN('Прогоны'!H19:H21)</x:f>
        <x:v>9.1094252</x:v>
      </x:c>
      <x:c r="F61" s="28" t="n">
        <x:f>MIN('Прогоны'!H19:H21)</x:f>
        <x:v>4.2721286</x:v>
      </x:c>
      <x:c r="G61" s="28" t="n">
        <x:f>MAX('Прогоны'!H19:H21)</x:f>
        <x:v>10.6365802</x:v>
      </x:c>
      <x:c r="H61" s="28" t="n">
        <x:f>MEDIAN('Прогоны'!H37:H39)</x:f>
        <x:v>3.6232678999999997</x:v>
      </x:c>
      <x:c r="I61" s="28" t="n">
        <x:f>MIN('Прогоны'!H37:H39)</x:f>
        <x:v>3.47327436</x:v>
      </x:c>
      <x:c r="J61" s="28" t="n">
        <x:f>MAX('Прогоны'!H37:H39)</x:f>
        <x:v>3.7309517000000003</x:v>
      </x:c>
      <x:c r="K61" s="28" t="n">
        <x:f>H61-E61</x:f>
        <x:v>-5.4861573</x:v>
      </x:c>
      <x:c r="L61" s="44" t="n">
        <x:f>IF(E61=0,"",K61/E61)</x:f>
        <x:v>-0.6022506557274327</x:v>
      </x:c>
    </x:row>
    <x:row r="62" ht="43" customHeight="1">
      <x:c r="A62" s="3" t="str">
        <x:v>Уборка после ремонта</x:v>
      </x:c>
      <x:c r="B62" s="3" t="str">
        <x:v>Телефон</x:v>
      </x:c>
      <x:c r="C62" s="3" t="str">
        <x:v>Блокировка интерфейса, TBT</x:v>
      </x:c>
      <x:c r="D62" s="3" t="str">
        <x:v>мс</x:v>
      </x:c>
      <x:c r="E62" s="21" t="n">
        <x:f>MEDIAN('Прогоны'!I19:I21)</x:f>
        <x:v>313.5</x:v>
      </x:c>
      <x:c r="F62" s="21" t="n">
        <x:f>MIN('Прогоны'!I19:I21)</x:f>
        <x:v>224.5</x:v>
      </x:c>
      <x:c r="G62" s="21" t="n">
        <x:f>MAX('Прогоны'!I19:I21)</x:f>
        <x:v>319.5</x:v>
      </x:c>
      <x:c r="H62" s="21" t="n">
        <x:f>MEDIAN('Прогоны'!I37:I39)</x:f>
        <x:v>15.5</x:v>
      </x:c>
      <x:c r="I62" s="21" t="n">
        <x:f>MIN('Прогоны'!I37:I39)</x:f>
        <x:v>15</x:v>
      </x:c>
      <x:c r="J62" s="21" t="n">
        <x:f>MAX('Прогоны'!I37:I39)</x:f>
        <x:v>19</x:v>
      </x:c>
      <x:c r="K62" s="21" t="n">
        <x:f>H62-E62</x:f>
        <x:v>-298</x:v>
      </x:c>
      <x:c r="L62" s="43" t="n">
        <x:f>IF(E62=0,"",K62/E62)</x:f>
        <x:v>-0.9505582137161085</x:v>
      </x:c>
    </x:row>
    <x:row r="63" ht="43" customHeight="1">
      <x:c r="A63" s="17" t="str">
        <x:v>Уборка после ремонта</x:v>
      </x:c>
      <x:c r="B63" s="17" t="str">
        <x:v>Телефон</x:v>
      </x:c>
      <x:c r="C63" s="17" t="str">
        <x:v>Сдвиги элементов, CLS</x:v>
      </x:c>
      <x:c r="D63" s="17" t="str">
        <x:v>коэффициент</x:v>
      </x:c>
      <x:c r="E63" s="32" t="n">
        <x:f>MEDIAN('Прогоны'!J19:J21)</x:f>
        <x:v>0.0124422153797798</x:v>
      </x:c>
      <x:c r="F63" s="32" t="n">
        <x:f>MIN('Прогоны'!J19:J21)</x:f>
        <x:v>0.0124422153797798</x:v>
      </x:c>
      <x:c r="G63" s="32" t="n">
        <x:f>MAX('Прогоны'!J19:J21)</x:f>
        <x:v>0.0124422153797798</x:v>
      </x:c>
      <x:c r="H63" s="32" t="n">
        <x:f>MEDIAN('Прогоны'!J37:J39)</x:f>
        <x:v>0.0124422153797798</x:v>
      </x:c>
      <x:c r="I63" s="32" t="n">
        <x:f>MIN('Прогоны'!J37:J39)</x:f>
        <x:v>0</x:v>
      </x:c>
      <x:c r="J63" s="32" t="n">
        <x:f>MAX('Прогоны'!J37:J39)</x:f>
        <x:v>0.0124422153797798</x:v>
      </x:c>
      <x:c r="K63" s="32" t="n">
        <x:f>H63-E63</x:f>
        <x:v>0</x:v>
      </x:c>
      <x:c r="L63" s="44" t="n">
        <x:f>IF(E63=0,"",K63/E63)</x:f>
        <x:v>0</x:v>
      </x:c>
    </x:row>
    <x:row r="64" ht="43" customHeight="1">
      <x:c r="A64" s="3" t="str">
        <x:v>Уборка после ремонта</x:v>
      </x:c>
      <x:c r="B64" s="3" t="str">
        <x:v>Телефон</x:v>
      </x:c>
      <x:c r="C64" s="3" t="str">
        <x:v>Заполнение экрана, Speed Index</x:v>
      </x:c>
      <x:c r="D64" s="3" t="str">
        <x:v>с</x:v>
      </x:c>
      <x:c r="E64" s="29" t="n">
        <x:f>MEDIAN('Прогоны'!K19:K21)</x:f>
        <x:v>11.84217426575595</x:v>
      </x:c>
      <x:c r="F64" s="29" t="n">
        <x:f>MIN('Прогоны'!K19:K21)</x:f>
        <x:v>7.9517479394383646</x:v>
      </x:c>
      <x:c r="G64" s="29" t="n">
        <x:f>MAX('Прогоны'!K19:K21)</x:f>
        <x:v>15.09076654432432</x:v>
      </x:c>
      <x:c r="H64" s="29" t="n">
        <x:f>MEDIAN('Прогоны'!K37:K39)</x:f>
        <x:v>6.255705223859921</x:v>
      </x:c>
      <x:c r="I64" s="29" t="n">
        <x:f>MIN('Прогоны'!K37:K39)</x:f>
        <x:v>5.942693652394112</x:v>
      </x:c>
      <x:c r="J64" s="29" t="n">
        <x:f>MAX('Прогоны'!K37:K39)</x:f>
        <x:v>6.302514469780199</x:v>
      </x:c>
      <x:c r="K64" s="29" t="n">
        <x:f>H64-E64</x:f>
        <x:v>-5.58646904189603</x:v>
      </x:c>
      <x:c r="L64" s="43" t="n">
        <x:f>IF(E64=0,"",K64/E64)</x:f>
        <x:v>-0.4717435258532243</x:v>
      </x:c>
    </x:row>
    <x:row r="65" ht="43" customHeight="1">
      <x:c r="A65" s="17" t="str">
        <x:v>Уборка после ремонта</x:v>
      </x:c>
      <x:c r="B65" s="17" t="str">
        <x:v>Телефон</x:v>
      </x:c>
      <x:c r="C65" s="17" t="str">
        <x:v>Ответ сервера</x:v>
      </x:c>
      <x:c r="D65" s="17" t="str">
        <x:v>мс</x:v>
      </x:c>
      <x:c r="E65" s="20" t="n">
        <x:f>MEDIAN('Прогоны'!L19:L21)</x:f>
        <x:v>838</x:v>
      </x:c>
      <x:c r="F65" s="20" t="n">
        <x:f>MIN('Прогоны'!L19:L21)</x:f>
        <x:v>804</x:v>
      </x:c>
      <x:c r="G65" s="20" t="n">
        <x:f>MAX('Прогоны'!L19:L21)</x:f>
        <x:v>847</x:v>
      </x:c>
      <x:c r="H65" s="20" t="n">
        <x:f>MEDIAN('Прогоны'!L37:L39)</x:f>
        <x:v>592</x:v>
      </x:c>
      <x:c r="I65" s="20" t="n">
        <x:f>MIN('Прогоны'!L37:L39)</x:f>
        <x:v>533</x:v>
      </x:c>
      <x:c r="J65" s="20" t="n">
        <x:f>MAX('Прогоны'!L37:L39)</x:f>
        <x:v>790</x:v>
      </x:c>
      <x:c r="K65" s="20" t="n">
        <x:f>H65-E65</x:f>
        <x:v>-246</x:v>
      </x:c>
      <x:c r="L65" s="44" t="n">
        <x:f>IF(E65=0,"",K65/E65)</x:f>
        <x:v>-0.2935560859188544</x:v>
      </x:c>
    </x:row>
    <x:row r="66" ht="43" customHeight="1">
      <x:c r="A66" s="3" t="str">
        <x:v>Уборка после ремонта</x:v>
      </x:c>
      <x:c r="B66" s="3" t="str">
        <x:v>Телефон</x:v>
      </x:c>
      <x:c r="C66" s="3" t="str">
        <x:v>Загрузка страницы</x:v>
      </x:c>
      <x:c r="D66" s="3" t="str">
        <x:v>байт</x:v>
      </x:c>
      <x:c r="E66" s="21" t="n">
        <x:f>MEDIAN('Прогоны'!M19:M21)</x:f>
        <x:v>3348254</x:v>
      </x:c>
      <x:c r="F66" s="21" t="n">
        <x:f>MIN('Прогоны'!M19:M21)</x:f>
        <x:v>3336800</x:v>
      </x:c>
      <x:c r="G66" s="21" t="n">
        <x:f>MAX('Прогоны'!M19:M21)</x:f>
        <x:v>3348328</x:v>
      </x:c>
      <x:c r="H66" s="21" t="n">
        <x:f>MEDIAN('Прогоны'!M37:M39)</x:f>
        <x:v>1180900</x:v>
      </x:c>
      <x:c r="I66" s="21" t="n">
        <x:f>MIN('Прогоны'!M37:M39)</x:f>
        <x:v>1180698</x:v>
      </x:c>
      <x:c r="J66" s="21" t="n">
        <x:f>MAX('Прогоны'!M37:M39)</x:f>
        <x:v>1181062</x:v>
      </x:c>
      <x:c r="K66" s="21" t="n">
        <x:f>H66-E66</x:f>
        <x:v>-2167354</x:v>
      </x:c>
      <x:c r="L66" s="43" t="n">
        <x:f>IF(E66=0,"",K66/E66)</x:f>
        <x:v>-0.647308716722208</x:v>
      </x:c>
    </x:row>
    <x:row r="67" ht="43" customHeight="1">
      <x:c r="A67" s="17" t="str">
        <x:v>Уборка после ремонта</x:v>
      </x:c>
      <x:c r="B67" s="17" t="str">
        <x:v>Телефон</x:v>
      </x:c>
      <x:c r="C67" s="17" t="str">
        <x:v>Изображения</x:v>
      </x:c>
      <x:c r="D67" s="17" t="str">
        <x:v>байт</x:v>
      </x:c>
      <x:c r="E67" s="20" t="n">
        <x:f>MEDIAN('Прогоны'!N19:N21)</x:f>
        <x:v>2108037</x:v>
      </x:c>
      <x:c r="F67" s="20" t="n">
        <x:f>MIN('Прогоны'!N19:N21)</x:f>
        <x:v>2107844</x:v>
      </x:c>
      <x:c r="G67" s="20" t="n">
        <x:f>MAX('Прогоны'!N19:N21)</x:f>
        <x:v>2109612</x:v>
      </x:c>
      <x:c r="H67" s="20" t="n">
        <x:f>MEDIAN('Прогоны'!N37:N39)</x:f>
        <x:v>667606</x:v>
      </x:c>
      <x:c r="I67" s="20" t="n">
        <x:f>MIN('Прогоны'!N37:N39)</x:f>
        <x:v>667604</x:v>
      </x:c>
      <x:c r="J67" s="20" t="n">
        <x:f>MAX('Прогоны'!N37:N39)</x:f>
        <x:v>667661</x:v>
      </x:c>
      <x:c r="K67" s="20" t="n">
        <x:f>H67-E67</x:f>
        <x:v>-1440431</x:v>
      </x:c>
      <x:c r="L67" s="44" t="n">
        <x:f>IF(E67=0,"",K67/E67)</x:f>
        <x:v>-0.6833044201785832</x:v>
      </x:c>
    </x:row>
    <x:row r="68" ht="43" customHeight="1">
      <x:c r="A68" s="3" t="str">
        <x:v>Уборка после ремонта</x:v>
      </x:c>
      <x:c r="B68" s="3" t="str">
        <x:v>Телефон</x:v>
      </x:c>
      <x:c r="C68" s="3" t="str">
        <x:v>Скрипты</x:v>
      </x:c>
      <x:c r="D68" s="3" t="str">
        <x:v>байт</x:v>
      </x:c>
      <x:c r="E68" s="21" t="n">
        <x:f>MEDIAN('Прогоны'!O19:O21)</x:f>
        <x:v>1024746</x:v>
      </x:c>
      <x:c r="F68" s="21" t="n">
        <x:f>MIN('Прогоны'!O19:O21)</x:f>
        <x:v>1024723</x:v>
      </x:c>
      <x:c r="G68" s="21" t="n">
        <x:f>MAX('Прогоны'!O19:O21)</x:f>
        <x:v>1024778</x:v>
      </x:c>
      <x:c r="H68" s="21" t="n">
        <x:f>MEDIAN('Прогоны'!O37:O39)</x:f>
        <x:v>305226</x:v>
      </x:c>
      <x:c r="I68" s="21" t="n">
        <x:f>MIN('Прогоны'!O37:O39)</x:f>
        <x:v>305224</x:v>
      </x:c>
      <x:c r="J68" s="21" t="n">
        <x:f>MAX('Прогоны'!O37:O39)</x:f>
        <x:v>305256</x:v>
      </x:c>
      <x:c r="K68" s="21" t="n">
        <x:f>H68-E68</x:f>
        <x:v>-719520</x:v>
      </x:c>
      <x:c r="L68" s="43" t="n">
        <x:f>IF(E68=0,"",K68/E68)</x:f>
        <x:v>-0.7021447265956637</x:v>
      </x:c>
    </x:row>
    <x:row r="69" ht="43" customHeight="1">
      <x:c r="A69" s="17" t="str">
        <x:v>Уборка после ремонта</x:v>
      </x:c>
      <x:c r="B69" s="17" t="str">
        <x:v>Телефон</x:v>
      </x:c>
      <x:c r="C69" s="17" t="str">
        <x:v>Шрифты</x:v>
      </x:c>
      <x:c r="D69" s="17" t="str">
        <x:v>байт</x:v>
      </x:c>
      <x:c r="E69" s="20" t="n">
        <x:f>MEDIAN('Прогоны'!P19:P21)</x:f>
        <x:v>114149</x:v>
      </x:c>
      <x:c r="F69" s="20" t="n">
        <x:f>MIN('Прогоны'!P19:P21)</x:f>
        <x:v>114149</x:v>
      </x:c>
      <x:c r="G69" s="20" t="n">
        <x:f>MAX('Прогоны'!P19:P21)</x:f>
        <x:v>114149</x:v>
      </x:c>
      <x:c r="H69" s="20" t="n">
        <x:f>MEDIAN('Прогоны'!P37:P39)</x:f>
        <x:v>114149</x:v>
      </x:c>
      <x:c r="I69" s="20" t="n">
        <x:f>MIN('Прогоны'!P37:P39)</x:f>
        <x:v>114149</x:v>
      </x:c>
      <x:c r="J69" s="20" t="n">
        <x:f>MAX('Прогоны'!P37:P39)</x:f>
        <x:v>114149</x:v>
      </x:c>
      <x:c r="K69" s="20" t="n">
        <x:f>H69-E69</x:f>
        <x:v>0</x:v>
      </x:c>
      <x:c r="L69" s="44" t="n">
        <x:f>IF(E69=0,"",K69/E69)</x:f>
        <x:v>0</x:v>
      </x:c>
    </x:row>
    <x:row r="70" ht="43" customHeight="1">
      <x:c r="A70" s="3" t="str">
        <x:v>Уборка после ремонта</x:v>
      </x:c>
      <x:c r="B70" s="3" t="str">
        <x:v>Телефон</x:v>
      </x:c>
      <x:c r="C70" s="3" t="str">
        <x:v>Стили</x:v>
      </x:c>
      <x:c r="D70" s="3" t="str">
        <x:v>байт</x:v>
      </x:c>
      <x:c r="E70" s="21" t="n">
        <x:f>MEDIAN('Прогоны'!Q19:Q21)</x:f>
        <x:v>29643</x:v>
      </x:c>
      <x:c r="F70" s="21" t="n">
        <x:f>MIN('Прогоны'!Q19:Q21)</x:f>
        <x:v>29643</x:v>
      </x:c>
      <x:c r="G70" s="21" t="n">
        <x:f>MAX('Прогоны'!Q19:Q21)</x:f>
        <x:v>29643</x:v>
      </x:c>
      <x:c r="H70" s="21" t="n">
        <x:f>MEDIAN('Прогоны'!Q37:Q39)</x:f>
        <x:v>30662</x:v>
      </x:c>
      <x:c r="I70" s="21" t="n">
        <x:f>MIN('Прогоны'!Q37:Q39)</x:f>
        <x:v>30662</x:v>
      </x:c>
      <x:c r="J70" s="21" t="n">
        <x:f>MAX('Прогоны'!Q37:Q39)</x:f>
        <x:v>30662</x:v>
      </x:c>
      <x:c r="K70" s="21" t="n">
        <x:f>H70-E70</x:f>
        <x:v>1019</x:v>
      </x:c>
      <x:c r="L70" s="43" t="n">
        <x:f>IF(E70=0,"",K70/E70)</x:f>
        <x:v>0.03437573794825085</x:v>
      </x:c>
    </x:row>
    <x:row r="71" ht="43" customHeight="1">
      <x:c r="A71" s="17" t="str">
        <x:v>Уборка после ремонта</x:v>
      </x:c>
      <x:c r="B71" s="17" t="str">
        <x:v>Телефон</x:v>
      </x:c>
      <x:c r="C71" s="17" t="str">
        <x:v>Запросы</x:v>
      </x:c>
      <x:c r="D71" s="17" t="str">
        <x:v>шт.</x:v>
      </x:c>
      <x:c r="E71" s="20" t="n">
        <x:f>MEDIAN('Прогоны'!R19:R21)</x:f>
        <x:v>64</x:v>
      </x:c>
      <x:c r="F71" s="20" t="n">
        <x:f>MIN('Прогоны'!R19:R21)</x:f>
        <x:v>63</x:v>
      </x:c>
      <x:c r="G71" s="20" t="n">
        <x:f>MAX('Прогоны'!R19:R21)</x:f>
        <x:v>65</x:v>
      </x:c>
      <x:c r="H71" s="20" t="n">
        <x:f>MEDIAN('Прогоны'!R37:R39)</x:f>
        <x:v>47</x:v>
      </x:c>
      <x:c r="I71" s="20" t="n">
        <x:f>MIN('Прогоны'!R37:R39)</x:f>
        <x:v>47</x:v>
      </x:c>
      <x:c r="J71" s="20" t="n">
        <x:f>MAX('Прогоны'!R37:R39)</x:f>
        <x:v>47</x:v>
      </x:c>
      <x:c r="K71" s="20" t="n">
        <x:f>H71-E71</x:f>
        <x:v>-17</x:v>
      </x:c>
      <x:c r="L71" s="44" t="n">
        <x:f>IF(E71=0,"",K71/E71)</x:f>
        <x:v>-0.265625</x:v>
      </x:c>
    </x:row>
    <x:row r="72" ht="43" customHeight="1">
      <x:c r="A72" s="36" t="str">
        <x:v>Уборка после ремонта</x:v>
      </x:c>
      <x:c r="B72" s="36" t="str">
        <x:v>Компьютер</x:v>
      </x:c>
      <x:c r="C72" s="36" t="str">
        <x:v>Lighthouse</x:v>
      </x:c>
      <x:c r="D72" s="36" t="str">
        <x:v>баллы</x:v>
      </x:c>
      <x:c r="E72" s="37" t="n">
        <x:f>MEDIAN('Прогоны'!F22:F24)</x:f>
        <x:v>57.99999999999999</x:v>
      </x:c>
      <x:c r="F72" s="37" t="n">
        <x:f>MIN('Прогоны'!F22:F24)</x:f>
        <x:v>52</x:v>
      </x:c>
      <x:c r="G72" s="37" t="n">
        <x:f>MAX('Прогоны'!F22:F24)</x:f>
        <x:v>59</x:v>
      </x:c>
      <x:c r="H72" s="37" t="n">
        <x:f>MEDIAN('Прогоны'!F40:F42)</x:f>
        <x:v>66</x:v>
      </x:c>
      <x:c r="I72" s="37" t="n">
        <x:f>MIN('Прогоны'!F40:F42)</x:f>
        <x:v>66</x:v>
      </x:c>
      <x:c r="J72" s="37" t="n">
        <x:f>MAX('Прогоны'!F40:F42)</x:f>
        <x:v>67</x:v>
      </x:c>
      <x:c r="K72" s="37" t="n">
        <x:f>H72-E72</x:f>
        <x:v>8.000000000000007</x:v>
      </x:c>
      <x:c r="L72" s="45" t="n">
        <x:f>IF(E72=0,"",K72/E72)</x:f>
        <x:v>0.13793103448275876</x:v>
      </x:c>
    </x:row>
    <x:row r="73" ht="43" customHeight="1">
      <x:c r="A73" s="17" t="str">
        <x:v>Уборка после ремонта</x:v>
      </x:c>
      <x:c r="B73" s="17" t="str">
        <x:v>Компьютер</x:v>
      </x:c>
      <x:c r="C73" s="17" t="str">
        <x:v>Первый видимый контент, FCP</x:v>
      </x:c>
      <x:c r="D73" s="17" t="str">
        <x:v>с</x:v>
      </x:c>
      <x:c r="E73" s="28" t="n">
        <x:f>MEDIAN('Прогоны'!G22:G24)</x:f>
        <x:v>4.094180599999999</x:v>
      </x:c>
      <x:c r="F73" s="28" t="n">
        <x:f>MIN('Прогоны'!G22:G24)</x:f>
        <x:v>2.5565374000000003</x:v>
      </x:c>
      <x:c r="G73" s="28" t="n">
        <x:f>MAX('Прогоны'!G22:G24)</x:f>
        <x:v>7.291886400000001</x:v>
      </x:c>
      <x:c r="H73" s="28" t="n">
        <x:f>MEDIAN('Прогоны'!G40:G42)</x:f>
        <x:v>2.3236471999999995</x:v>
      </x:c>
      <x:c r="I73" s="28" t="n">
        <x:f>MIN('Прогоны'!G40:G42)</x:f>
        <x:v>2.2762818000000005</x:v>
      </x:c>
      <x:c r="J73" s="28" t="n">
        <x:f>MAX('Прогоны'!G40:G42)</x:f>
        <x:v>2.3381306</x:v>
      </x:c>
      <x:c r="K73" s="28" t="n">
        <x:f>H73-E73</x:f>
        <x:v>-1.7705333999999993</x:v>
      </x:c>
      <x:c r="L73" s="44" t="n">
        <x:f>IF(E73=0,"",K73/E73)</x:f>
        <x:v>-0.43245122113079226</x:v>
      </x:c>
    </x:row>
    <x:row r="74" ht="43" customHeight="1">
      <x:c r="A74" s="3" t="str">
        <x:v>Уборка после ремонта</x:v>
      </x:c>
      <x:c r="B74" s="3" t="str">
        <x:v>Компьютер</x:v>
      </x:c>
      <x:c r="C74" s="3" t="str">
        <x:v>Главный элемент, LCP</x:v>
      </x:c>
      <x:c r="D74" s="3" t="str">
        <x:v>с</x:v>
      </x:c>
      <x:c r="E74" s="29" t="n">
        <x:f>MEDIAN('Прогоны'!H22:H24)</x:f>
        <x:v>4.702268699999999</x:v>
      </x:c>
      <x:c r="F74" s="29" t="n">
        <x:f>MIN('Прогоны'!H22:H24)</x:f>
        <x:v>4.1291534</x:v>
      </x:c>
      <x:c r="G74" s="29" t="n">
        <x:f>MAX('Прогоны'!H22:H24)</x:f>
        <x:v>7.308886400000001</x:v>
      </x:c>
      <x:c r="H74" s="29" t="n">
        <x:f>MEDIAN('Прогоны'!H40:H42)</x:f>
        <x:v>3.3002102999999994</x:v>
      </x:c>
      <x:c r="I74" s="29" t="n">
        <x:f>MIN('Прогоны'!H40:H42)</x:f>
        <x:v>3.2362732000000016</x:v>
      </x:c>
      <x:c r="J74" s="29" t="n">
        <x:f>MAX('Прогоны'!H40:H42)</x:f>
        <x:v>3.3201099000000003</x:v>
      </x:c>
      <x:c r="K74" s="29" t="n">
        <x:f>H74-E74</x:f>
        <x:v>-1.4020584</x:v>
      </x:c>
      <x:c r="L74" s="43" t="n">
        <x:f>IF(E74=0,"",K74/E74)</x:f>
        <x:v>-0.29816637233002025</x:v>
      </x:c>
    </x:row>
    <x:row r="75" ht="43" customHeight="1">
      <x:c r="A75" s="17" t="str">
        <x:v>Уборка после ремонта</x:v>
      </x:c>
      <x:c r="B75" s="17" t="str">
        <x:v>Компьютер</x:v>
      </x:c>
      <x:c r="C75" s="17" t="str">
        <x:v>Блокировка интерфейса, TBT</x:v>
      </x:c>
      <x:c r="D75" s="17" t="str">
        <x:v>мс</x:v>
      </x:c>
      <x:c r="E75" s="20" t="n">
        <x:f>MEDIAN('Прогоны'!I22:I24)</x:f>
        <x:v>2.5</x:v>
      </x:c>
      <x:c r="F75" s="20" t="n">
        <x:f>MIN('Прогоны'!I22:I24)</x:f>
        <x:v>0</x:v>
      </x:c>
      <x:c r="G75" s="20" t="n">
        <x:f>MAX('Прогоны'!I22:I24)</x:f>
        <x:v>4</x:v>
      </x:c>
      <x:c r="H75" s="20" t="n">
        <x:f>MEDIAN('Прогоны'!I40:I42)</x:f>
        <x:v>0</x:v>
      </x:c>
      <x:c r="I75" s="20" t="n">
        <x:f>MIN('Прогоны'!I40:I42)</x:f>
        <x:v>0</x:v>
      </x:c>
      <x:c r="J75" s="20" t="n">
        <x:f>MAX('Прогоны'!I40:I42)</x:f>
        <x:v>0</x:v>
      </x:c>
      <x:c r="K75" s="20" t="n">
        <x:f>H75-E75</x:f>
        <x:v>-2.5</x:v>
      </x:c>
      <x:c r="L75" s="44" t="n">
        <x:f>IF(E75=0,"",K75/E75)</x:f>
        <x:v>-1</x:v>
      </x:c>
    </x:row>
    <x:row r="76" ht="43" customHeight="1">
      <x:c r="A76" s="3" t="str">
        <x:v>Уборка после ремонта</x:v>
      </x:c>
      <x:c r="B76" s="3" t="str">
        <x:v>Компьютер</x:v>
      </x:c>
      <x:c r="C76" s="3" t="str">
        <x:v>Сдвиги элементов, CLS</x:v>
      </x:c>
      <x:c r="D76" s="3" t="str">
        <x:v>коэффициент</x:v>
      </x:c>
      <x:c r="E76" s="33" t="n">
        <x:f>MEDIAN('Прогоны'!J22:J24)</x:f>
        <x:v>0.1050079607041521</x:v>
      </x:c>
      <x:c r="F76" s="33" t="n">
        <x:f>MIN('Прогоны'!J22:J24)</x:f>
        <x:v>0.0002644906778163681</x:v>
      </x:c>
      <x:c r="G76" s="33" t="n">
        <x:f>MAX('Прогоны'!J22:J24)</x:f>
        <x:v>0.10506565961804261</x:v>
      </x:c>
      <x:c r="H76" s="33" t="n">
        <x:f>MEDIAN('Прогоны'!J40:J42)</x:f>
        <x:v>0.000057698913890508</x:v>
      </x:c>
      <x:c r="I76" s="33" t="n">
        <x:f>MIN('Прогоны'!J40:J42)</x:f>
        <x:v>0.000057698913890508</x:v>
      </x:c>
      <x:c r="J76" s="33" t="n">
        <x:f>MAX('Прогоны'!J40:J42)</x:f>
        <x:v>0.000057698913890508</x:v>
      </x:c>
      <x:c r="K76" s="33" t="n">
        <x:f>H76-E76</x:f>
        <x:v>-0.10495026179026158</x:v>
      </x:c>
      <x:c r="L76" s="43" t="n">
        <x:f>IF(E76=0,"",K76/E76)</x:f>
        <x:v>-0.999450528193257</x:v>
      </x:c>
    </x:row>
    <x:row r="77" ht="43" customHeight="1">
      <x:c r="A77" s="17" t="str">
        <x:v>Уборка после ремонта</x:v>
      </x:c>
      <x:c r="B77" s="17" t="str">
        <x:v>Компьютер</x:v>
      </x:c>
      <x:c r="C77" s="17" t="str">
        <x:v>Заполнение экрана, Speed Index</x:v>
      </x:c>
      <x:c r="D77" s="17" t="str">
        <x:v>с</x:v>
      </x:c>
      <x:c r="E77" s="28" t="n">
        <x:f>MEDIAN('Прогоны'!K22:K24)</x:f>
        <x:v>8.188966930377692</x:v>
      </x:c>
      <x:c r="F77" s="28" t="n">
        <x:f>MIN('Прогоны'!K22:K24)</x:f>
        <x:v>3.4825438226510093</x:v>
      </x:c>
      <x:c r="G77" s="28" t="n">
        <x:f>MAX('Прогоны'!K22:K24)</x:f>
        <x:v>9.20888562566744</x:v>
      </x:c>
      <x:c r="H77" s="28" t="n">
        <x:f>MEDIAN('Прогоны'!K40:K42)</x:f>
        <x:v>3.1226444310321777</x:v>
      </x:c>
      <x:c r="I77" s="28" t="n">
        <x:f>MIN('Прогоны'!K40:K42)</x:f>
        <x:v>3.0997566965722965</x:v>
      </x:c>
      <x:c r="J77" s="28" t="n">
        <x:f>MAX('Прогоны'!K40:K42)</x:f>
        <x:v>3.194145303969757</x:v>
      </x:c>
      <x:c r="K77" s="28" t="n">
        <x:f>H77-E77</x:f>
        <x:v>-5.066322499345514</x:v>
      </x:c>
      <x:c r="L77" s="44" t="n">
        <x:f>IF(E77=0,"",K77/E77)</x:f>
        <x:v>-0.6186766343568376</x:v>
      </x:c>
    </x:row>
    <x:row r="78" ht="43" customHeight="1">
      <x:c r="A78" s="3" t="str">
        <x:v>Уборка после ремонта</x:v>
      </x:c>
      <x:c r="B78" s="3" t="str">
        <x:v>Компьютер</x:v>
      </x:c>
      <x:c r="C78" s="3" t="str">
        <x:v>Ответ сервера</x:v>
      </x:c>
      <x:c r="D78" s="3" t="str">
        <x:v>мс</x:v>
      </x:c>
      <x:c r="E78" s="21" t="n">
        <x:f>MEDIAN('Прогоны'!L22:L24)</x:f>
        <x:v>588</x:v>
      </x:c>
      <x:c r="F78" s="21" t="n">
        <x:f>MIN('Прогоны'!L22:L24)</x:f>
        <x:v>580</x:v>
      </x:c>
      <x:c r="G78" s="21" t="n">
        <x:f>MAX('Прогоны'!L22:L24)</x:f>
        <x:v>801</x:v>
      </x:c>
      <x:c r="H78" s="21" t="n">
        <x:f>MEDIAN('Прогоны'!L40:L42)</x:f>
        <x:v>800</x:v>
      </x:c>
      <x:c r="I78" s="21" t="n">
        <x:f>MIN('Прогоны'!L40:L42)</x:f>
        <x:v>795</x:v>
      </x:c>
      <x:c r="J78" s="21" t="n">
        <x:f>MAX('Прогоны'!L40:L42)</x:f>
        <x:v>828</x:v>
      </x:c>
      <x:c r="K78" s="21" t="n">
        <x:f>H78-E78</x:f>
        <x:v>212</x:v>
      </x:c>
      <x:c r="L78" s="43" t="n">
        <x:f>IF(E78=0,"",K78/E78)</x:f>
        <x:v>0.36054421768707484</x:v>
      </x:c>
    </x:row>
    <x:row r="79" ht="43" customHeight="1">
      <x:c r="A79" s="17" t="str">
        <x:v>Уборка после ремонта</x:v>
      </x:c>
      <x:c r="B79" s="17" t="str">
        <x:v>Компьютер</x:v>
      </x:c>
      <x:c r="C79" s="17" t="str">
        <x:v>Загрузка страницы</x:v>
      </x:c>
      <x:c r="D79" s="17" t="str">
        <x:v>байт</x:v>
      </x:c>
      <x:c r="E79" s="20" t="n">
        <x:f>MEDIAN('Прогоны'!M22:M24)</x:f>
        <x:v>3382906</x:v>
      </x:c>
      <x:c r="F79" s="20" t="n">
        <x:f>MIN('Прогоны'!M22:M24)</x:f>
        <x:v>3134230</x:v>
      </x:c>
      <x:c r="G79" s="20" t="n">
        <x:f>MAX('Прогоны'!M22:M24)</x:f>
        <x:v>3383134</x:v>
      </x:c>
      <x:c r="H79" s="20" t="n">
        <x:f>MEDIAN('Прогоны'!M40:M42)</x:f>
        <x:v>1734915</x:v>
      </x:c>
      <x:c r="I79" s="20" t="n">
        <x:f>MIN('Прогоны'!M40:M42)</x:f>
        <x:v>1734891</x:v>
      </x:c>
      <x:c r="J79" s="20" t="n">
        <x:f>MAX('Прогоны'!M40:M42)</x:f>
        <x:v>1734962</x:v>
      </x:c>
      <x:c r="K79" s="20" t="n">
        <x:f>H79-E79</x:f>
        <x:v>-1647991</x:v>
      </x:c>
      <x:c r="L79" s="44" t="n">
        <x:f>IF(E79=0,"",K79/E79)</x:f>
        <x:v>-0.4871524659567839</x:v>
      </x:c>
    </x:row>
    <x:row r="80" ht="43" customHeight="1">
      <x:c r="A80" s="3" t="str">
        <x:v>Уборка после ремонта</x:v>
      </x:c>
      <x:c r="B80" s="3" t="str">
        <x:v>Компьютер</x:v>
      </x:c>
      <x:c r="C80" s="3" t="str">
        <x:v>Изображения</x:v>
      </x:c>
      <x:c r="D80" s="3" t="str">
        <x:v>байт</x:v>
      </x:c>
      <x:c r="E80" s="21" t="n">
        <x:f>MEDIAN('Прогоны'!N22:N24)</x:f>
        <x:v>2155954</x:v>
      </x:c>
      <x:c r="F80" s="21" t="n">
        <x:f>MIN('Прогоны'!N22:N24)</x:f>
        <x:v>1893233</x:v>
      </x:c>
      <x:c r="G80" s="21" t="n">
        <x:f>MAX('Прогоны'!N22:N24)</x:f>
        <x:v>2156051</x:v>
      </x:c>
      <x:c r="H80" s="21" t="n">
        <x:f>MEDIAN('Прогоны'!N40:N42)</x:f>
        <x:v>1221580</x:v>
      </x:c>
      <x:c r="I80" s="21" t="n">
        <x:f>MIN('Прогоны'!N40:N42)</x:f>
        <x:v>1221578</x:v>
      </x:c>
      <x:c r="J80" s="21" t="n">
        <x:f>MAX('Прогоны'!N40:N42)</x:f>
        <x:v>1221755</x:v>
      </x:c>
      <x:c r="K80" s="21" t="n">
        <x:f>H80-E80</x:f>
        <x:v>-934374</x:v>
      </x:c>
      <x:c r="L80" s="43" t="n">
        <x:f>IF(E80=0,"",K80/E80)</x:f>
        <x:v>-0.4333923636589649</x:v>
      </x:c>
    </x:row>
    <x:row r="81" ht="43" customHeight="1">
      <x:c r="A81" s="17" t="str">
        <x:v>Уборка после ремонта</x:v>
      </x:c>
      <x:c r="B81" s="17" t="str">
        <x:v>Компьютер</x:v>
      </x:c>
      <x:c r="C81" s="17" t="str">
        <x:v>Скрипты</x:v>
      </x:c>
      <x:c r="D81" s="17" t="str">
        <x:v>байт</x:v>
      </x:c>
      <x:c r="E81" s="20" t="n">
        <x:f>MEDIAN('Прогоны'!O22:O24)</x:f>
        <x:v>1024753</x:v>
      </x:c>
      <x:c r="F81" s="20" t="n">
        <x:f>MIN('Прогоны'!O22:O24)</x:f>
        <x:v>1024362</x:v>
      </x:c>
      <x:c r="G81" s="20" t="n">
        <x:f>MAX('Прогоны'!O22:O24)</x:f>
        <x:v>1024816</x:v>
      </x:c>
      <x:c r="H81" s="20" t="n">
        <x:f>MEDIAN('Прогоны'!O40:O42)</x:f>
        <x:v>305282</x:v>
      </x:c>
      <x:c r="I81" s="20" t="n">
        <x:f>MIN('Прогоны'!O40:O42)</x:f>
        <x:v>305208</x:v>
      </x:c>
      <x:c r="J81" s="20" t="n">
        <x:f>MAX('Прогоны'!O40:O42)</x:f>
        <x:v>305292</x:v>
      </x:c>
      <x:c r="K81" s="20" t="n">
        <x:f>H81-E81</x:f>
        <x:v>-719471</x:v>
      </x:c>
      <x:c r="L81" s="44" t="n">
        <x:f>IF(E81=0,"",K81/E81)</x:f>
        <x:v>-0.7020921139045214</x:v>
      </x:c>
    </x:row>
    <x:row r="82" ht="43" customHeight="1">
      <x:c r="A82" s="3" t="str">
        <x:v>Уборка после ремонта</x:v>
      </x:c>
      <x:c r="B82" s="3" t="str">
        <x:v>Компьютер</x:v>
      </x:c>
      <x:c r="C82" s="3" t="str">
        <x:v>Шрифты</x:v>
      </x:c>
      <x:c r="D82" s="3" t="str">
        <x:v>байт</x:v>
      </x:c>
      <x:c r="E82" s="21" t="n">
        <x:f>MEDIAN('Прогоны'!P22:P24)</x:f>
        <x:v>114149</x:v>
      </x:c>
      <x:c r="F82" s="21" t="n">
        <x:f>MIN('Прогоны'!P22:P24)</x:f>
        <x:v>114149</x:v>
      </x:c>
      <x:c r="G82" s="21" t="n">
        <x:f>MAX('Прогоны'!P22:P24)</x:f>
        <x:v>114149</x:v>
      </x:c>
      <x:c r="H82" s="21" t="n">
        <x:f>MEDIAN('Прогоны'!P40:P42)</x:f>
        <x:v>114149</x:v>
      </x:c>
      <x:c r="I82" s="21" t="n">
        <x:f>MIN('Прогоны'!P40:P42)</x:f>
        <x:v>114149</x:v>
      </x:c>
      <x:c r="J82" s="21" t="n">
        <x:f>MAX('Прогоны'!P40:P42)</x:f>
        <x:v>114149</x:v>
      </x:c>
      <x:c r="K82" s="21" t="n">
        <x:f>H82-E82</x:f>
        <x:v>0</x:v>
      </x:c>
      <x:c r="L82" s="43" t="n">
        <x:f>IF(E82=0,"",K82/E82)</x:f>
        <x:v>0</x:v>
      </x:c>
    </x:row>
    <x:row r="83" ht="43" customHeight="1">
      <x:c r="A83" s="17" t="str">
        <x:v>Уборка после ремонта</x:v>
      </x:c>
      <x:c r="B83" s="17" t="str">
        <x:v>Компьютер</x:v>
      </x:c>
      <x:c r="C83" s="17" t="str">
        <x:v>Стили</x:v>
      </x:c>
      <x:c r="D83" s="17" t="str">
        <x:v>байт</x:v>
      </x:c>
      <x:c r="E83" s="20" t="n">
        <x:f>MEDIAN('Прогоны'!Q22:Q24)</x:f>
        <x:v>29643</x:v>
      </x:c>
      <x:c r="F83" s="20" t="n">
        <x:f>MIN('Прогоны'!Q22:Q24)</x:f>
        <x:v>29643</x:v>
      </x:c>
      <x:c r="G83" s="20" t="n">
        <x:f>MAX('Прогоны'!Q22:Q24)</x:f>
        <x:v>29643</x:v>
      </x:c>
      <x:c r="H83" s="20" t="n">
        <x:f>MEDIAN('Прогоны'!Q40:Q42)</x:f>
        <x:v>30662</x:v>
      </x:c>
      <x:c r="I83" s="20" t="n">
        <x:f>MIN('Прогоны'!Q40:Q42)</x:f>
        <x:v>30662</x:v>
      </x:c>
      <x:c r="J83" s="20" t="n">
        <x:f>MAX('Прогоны'!Q40:Q42)</x:f>
        <x:v>30662</x:v>
      </x:c>
      <x:c r="K83" s="20" t="n">
        <x:f>H83-E83</x:f>
        <x:v>1019</x:v>
      </x:c>
      <x:c r="L83" s="44" t="n">
        <x:f>IF(E83=0,"",K83/E83)</x:f>
        <x:v>0.03437573794825085</x:v>
      </x:c>
    </x:row>
    <x:row r="84" ht="43" customHeight="1">
      <x:c r="A84" s="3" t="str">
        <x:v>Уборка после ремонта</x:v>
      </x:c>
      <x:c r="B84" s="3" t="str">
        <x:v>Компьютер</x:v>
      </x:c>
      <x:c r="C84" s="3" t="str">
        <x:v>Запросы</x:v>
      </x:c>
      <x:c r="D84" s="3" t="str">
        <x:v>шт.</x:v>
      </x:c>
      <x:c r="E84" s="21" t="n">
        <x:f>MEDIAN('Прогоны'!R22:R24)</x:f>
        <x:v>72</x:v>
      </x:c>
      <x:c r="F84" s="21" t="n">
        <x:f>MIN('Прогоны'!R22:R24)</x:f>
        <x:v>71</x:v>
      </x:c>
      <x:c r="G84" s="21" t="n">
        <x:f>MAX('Прогоны'!R22:R24)</x:f>
        <x:v>76</x:v>
      </x:c>
      <x:c r="H84" s="21" t="n">
        <x:f>MEDIAN('Прогоны'!R40:R42)</x:f>
        <x:v>48</x:v>
      </x:c>
      <x:c r="I84" s="21" t="n">
        <x:f>MIN('Прогоны'!R40:R42)</x:f>
        <x:v>48</x:v>
      </x:c>
      <x:c r="J84" s="21" t="n">
        <x:f>MAX('Прогоны'!R40:R42)</x:f>
        <x:v>48</x:v>
      </x:c>
      <x:c r="K84" s="21" t="n">
        <x:f>H84-E84</x:f>
        <x:v>-24</x:v>
      </x:c>
      <x:c r="L84" s="43" t="n">
        <x:f>IF(E84=0,"",K84/E84)</x:f>
        <x:v>-0.3333333333333333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17" hidden="0" customWidth="1"/>
    <x:col min="4" max="4" width="11" hidden="0" customWidth="1"/>
    <x:col min="5" max="5" width="24" hidden="0" customWidth="1"/>
    <x:col min="6" max="6" width="14" hidden="0" customWidth="1"/>
    <x:col min="7" max="7" width="13" hidden="0" customWidth="1"/>
    <x:col min="8" max="8" width="13" hidden="0" customWidth="1"/>
    <x:col min="9" max="9" width="14" hidden="0" customWidth="1"/>
    <x:col min="10" max="10" width="12" hidden="0" customWidth="1"/>
    <x:col min="11" max="11" width="17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4" hidden="0" customWidth="1"/>
    <x:col min="19" max="19" width="50" hidden="0" customWidth="1"/>
  </x:cols>
  <x:sheetData>
    <x:row r="1" ht="31" customHeight="1">
      <x:c r="A1" s="5" t="str">
        <x:v>Прогоны Lighthouse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0" customHeight="1">
      <x:c r="A2" s="7" t="str">
        <x:v>Все 36 отдельных измерений.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24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</x:row>
    <x:row r="6" ht="44" customHeight="1">
      <x:c r="A6" s="14" t="str">
        <x:v>Серия</x:v>
      </x:c>
      <x:c r="B6" s="15" t="str">
        <x:v>Страница</x:v>
      </x:c>
      <x:c r="C6" s="15" t="str">
        <x:v>Устройство</x:v>
      </x:c>
      <x:c r="D6" s="15" t="str">
        <x:v>Повтор</x:v>
      </x:c>
      <x:c r="E6" s="15" t="str">
        <x:v>Дата и время, UTC</x:v>
      </x:c>
      <x:c r="F6" s="15" t="str">
        <x:v>Lighthouse</x:v>
      </x:c>
      <x:c r="G6" s="15" t="str">
        <x:v>FCP, с</x:v>
      </x:c>
      <x:c r="H6" s="15" t="str">
        <x:v>LCP, с</x:v>
      </x:c>
      <x:c r="I6" s="15" t="str">
        <x:v>TBT, мс</x:v>
      </x:c>
      <x:c r="J6" s="15" t="str">
        <x:v>CLS</x:v>
      </x:c>
      <x:c r="K6" s="15" t="str">
        <x:v>Speed Index, с</x:v>
      </x:c>
      <x:c r="L6" s="15" t="str">
        <x:v>Ответ сервера, мс</x:v>
      </x:c>
      <x:c r="M6" s="15" t="str">
        <x:v>Всего, байт</x:v>
      </x:c>
      <x:c r="N6" s="15" t="str">
        <x:v>Фото, байт</x:v>
      </x:c>
      <x:c r="O6" s="15" t="str">
        <x:v>Скрипты, байт</x:v>
      </x:c>
      <x:c r="P6" s="15" t="str">
        <x:v>Шрифты, байт</x:v>
      </x:c>
      <x:c r="Q6" s="15" t="str">
        <x:v>Стили, байт</x:v>
      </x:c>
      <x:c r="R6" s="15" t="str">
        <x:v>Запросы</x:v>
      </x:c>
      <x:c r="S6" s="16" t="str">
        <x:v>Страница, URL</x:v>
      </x:c>
    </x:row>
    <x:row r="7" ht="56" customHeight="1">
      <x:c r="A7" s="17" t="str">
        <x:v>До</x:v>
      </x:c>
      <x:c r="B7" s="17" t="str">
        <x:v>Главная</x:v>
      </x:c>
      <x:c r="C7" s="17" t="str">
        <x:v>Телефон</x:v>
      </x:c>
      <x:c r="D7" s="20" t="n">
        <x:v>1</x:v>
      </x:c>
      <x:c r="E7" s="24" t="n">
        <x:v>46302.714769467595</x:v>
      </x:c>
      <x:c r="F7" s="20" t="n">
        <x:v>45</x:v>
      </x:c>
      <x:c r="G7" s="28" t="n">
        <x:v>4.506159299999999</x:v>
      </x:c>
      <x:c r="H7" s="28" t="n">
        <x:v>13.801470849999998</x:v>
      </x:c>
      <x:c r="I7" s="20" t="n">
        <x:v>468.8217999999997</x:v>
      </x:c>
      <x:c r="J7" s="32" t="n">
        <x:v>0</x:v>
      </x:c>
      <x:c r="K7" s="28" t="n">
        <x:v>13.189730882160038</x:v>
      </x:c>
      <x:c r="L7" s="20" t="n">
        <x:v>1100</x:v>
      </x:c>
      <x:c r="M7" s="20" t="n">
        <x:v>13477359</x:v>
      </x:c>
      <x:c r="N7" s="20" t="n">
        <x:v>10908650</x:v>
      </x:c>
      <x:c r="O7" s="20" t="n">
        <x:v>1847426</x:v>
      </x:c>
      <x:c r="P7" s="20" t="n">
        <x:v>220618</x:v>
      </x:c>
      <x:c r="Q7" s="20" t="n">
        <x:v>89814</x:v>
      </x:c>
      <x:c r="R7" s="20" t="n">
        <x:v>160</x:v>
      </x:c>
      <x:c r="S7" s="17" t="str">
        <x:v>https://chistoufa.ru/</x:v>
      </x:c>
    </x:row>
    <x:row r="8" ht="56" customHeight="1">
      <x:c r="A8" s="3" t="str">
        <x:v>До</x:v>
      </x:c>
      <x:c r="B8" s="3" t="str">
        <x:v>Главная</x:v>
      </x:c>
      <x:c r="C8" s="3" t="str">
        <x:v>Телефон</x:v>
      </x:c>
      <x:c r="D8" s="21" t="n">
        <x:v>2</x:v>
      </x:c>
      <x:c r="E8" s="25" t="n">
        <x:v>46302.71553141204</x:v>
      </x:c>
      <x:c r="F8" s="21" t="n">
        <x:v>51</x:v>
      </x:c>
      <x:c r="G8" s="29" t="n">
        <x:v>11.312766674999999</x:v>
      </x:c>
      <x:c r="H8" s="29" t="n">
        <x:v>23.69751914591064</x:v>
      </x:c>
      <x:c r="I8" s="21" t="n">
        <x:v>217</x:v>
      </x:c>
      <x:c r="J8" s="33" t="n">
        <x:v>0.000491202620488728</x:v>
      </x:c>
      <x:c r="K8" s="29" t="n">
        <x:v>20.563836010149657</x:v>
      </x:c>
      <x:c r="L8" s="21" t="n">
        <x:v>1070</x:v>
      </x:c>
      <x:c r="M8" s="21" t="n">
        <x:v>14120236</x:v>
      </x:c>
      <x:c r="N8" s="21" t="n">
        <x:v>10908620</x:v>
      </x:c>
      <x:c r="O8" s="21" t="n">
        <x:v>2415147</x:v>
      </x:c>
      <x:c r="P8" s="21" t="n">
        <x:v>220618</x:v>
      </x:c>
      <x:c r="Q8" s="21" t="n">
        <x:v>145366</x:v>
      </x:c>
      <x:c r="R8" s="21" t="n">
        <x:v>181</x:v>
      </x:c>
      <x:c r="S8" s="3" t="str">
        <x:v>https://chistoufa.ru/</x:v>
      </x:c>
    </x:row>
    <x:row r="9" ht="56" customHeight="1">
      <x:c r="A9" s="17" t="str">
        <x:v>До</x:v>
      </x:c>
      <x:c r="B9" s="17" t="str">
        <x:v>Главная</x:v>
      </x:c>
      <x:c r="C9" s="17" t="str">
        <x:v>Телефон</x:v>
      </x:c>
      <x:c r="D9" s="20" t="n">
        <x:v>3</x:v>
      </x:c>
      <x:c r="E9" s="24" t="n">
        <x:v>46302.71605917824</x:v>
      </x:c>
      <x:c r="F9" s="20" t="n">
        <x:v>42</x:v>
      </x:c>
      <x:c r="G9" s="28" t="n">
        <x:v>4.8235296000000005</x:v>
      </x:c>
      <x:c r="H9" s="28" t="n">
        <x:v>17.5322645</x:v>
      </x:c>
      <x:c r="I9" s="20" t="n">
        <x:v>560.5</x:v>
      </x:c>
      <x:c r="J9" s="32" t="n">
        <x:v>0</x:v>
      </x:c>
      <x:c r="K9" s="28" t="n">
        <x:v>12.94625596251668</x:v>
      </x:c>
      <x:c r="L9" s="20" t="n">
        <x:v>994</x:v>
      </x:c>
      <x:c r="M9" s="20" t="n">
        <x:v>14105936</x:v>
      </x:c>
      <x:c r="N9" s="20" t="n">
        <x:v>10908818</x:v>
      </x:c>
      <x:c r="O9" s="20" t="n">
        <x:v>2415145</x:v>
      </x:c>
      <x:c r="P9" s="20" t="n">
        <x:v>220618</x:v>
      </x:c>
      <x:c r="Q9" s="20" t="n">
        <x:v>145369</x:v>
      </x:c>
      <x:c r="R9" s="20" t="n">
        <x:v>180</x:v>
      </x:c>
      <x:c r="S9" s="17" t="str">
        <x:v>https://chistoufa.ru/</x:v>
      </x:c>
    </x:row>
    <x:row r="10" ht="56" customHeight="1">
      <x:c r="A10" s="3" t="str">
        <x:v>До</x:v>
      </x:c>
      <x:c r="B10" s="3" t="str">
        <x:v>Главная</x:v>
      </x:c>
      <x:c r="C10" s="3" t="str">
        <x:v>Компьютер</x:v>
      </x:c>
      <x:c r="D10" s="21" t="n">
        <x:v>1</x:v>
      </x:c>
      <x:c r="E10" s="25" t="n">
        <x:v>46302.71647615741</x:v>
      </x:c>
      <x:c r="F10" s="21" t="n">
        <x:v>57.99999999999999</x:v>
      </x:c>
      <x:c r="G10" s="29" t="n">
        <x:v>2.9975611</x:v>
      </x:c>
      <x:c r="H10" s="29" t="n">
        <x:v>5.04660165</x:v>
      </x:c>
      <x:c r="I10" s="21" t="n">
        <x:v>0</x:v>
      </x:c>
      <x:c r="J10" s="33" t="n">
        <x:v>0.01098383355971185</x:v>
      </x:c>
      <x:c r="K10" s="29" t="n">
        <x:v>4.715569967488367</x:v>
      </x:c>
      <x:c r="L10" s="21" t="n">
        <x:v>1118</x:v>
      </x:c>
      <x:c r="M10" s="21" t="n">
        <x:v>14202185</x:v>
      </x:c>
      <x:c r="N10" s="21" t="n">
        <x:v>10956757</x:v>
      </x:c>
      <x:c r="O10" s="21" t="n">
        <x:v>2415161</x:v>
      </x:c>
      <x:c r="P10" s="21" t="n">
        <x:v>220618</x:v>
      </x:c>
      <x:c r="Q10" s="21" t="n">
        <x:v>145370</x:v>
      </x:c>
      <x:c r="R10" s="21" t="n">
        <x:v>193</x:v>
      </x:c>
      <x:c r="S10" s="3" t="str">
        <x:v>https://chistoufa.ru/</x:v>
      </x:c>
    </x:row>
    <x:row r="11" ht="56" customHeight="1">
      <x:c r="A11" s="17" t="str">
        <x:v>До</x:v>
      </x:c>
      <x:c r="B11" s="17" t="str">
        <x:v>Главная</x:v>
      </x:c>
      <x:c r="C11" s="17" t="str">
        <x:v>Компьютер</x:v>
      </x:c>
      <x:c r="D11" s="20" t="n">
        <x:v>2</x:v>
      </x:c>
      <x:c r="E11" s="24" t="n">
        <x:v>46302.716999386575</x:v>
      </x:c>
      <x:c r="F11" s="20" t="n">
        <x:v>56.00000000000001</x:v>
      </x:c>
      <x:c r="G11" s="28" t="n">
        <x:v>3.9810770799999995</x:v>
      </x:c>
      <x:c r="H11" s="28" t="n">
        <x:v>6.309365599999999</x:v>
      </x:c>
      <x:c r="I11" s="20" t="n">
        <x:v>2.999999999998181</x:v>
      </x:c>
      <x:c r="J11" s="32" t="n">
        <x:v>0.010488213842188059</x:v>
      </x:c>
      <x:c r="K11" s="28" t="n">
        <x:v>6.6702584389794515</x:v>
      </x:c>
      <x:c r="L11" s="20" t="n">
        <x:v>1128</x:v>
      </x:c>
      <x:c r="M11" s="20" t="n">
        <x:v>14165611</x:v>
      </x:c>
      <x:c r="N11" s="20" t="n">
        <x:v>10955540</x:v>
      </x:c>
      <x:c r="O11" s="20" t="n">
        <x:v>2415149</x:v>
      </x:c>
      <x:c r="P11" s="20" t="n">
        <x:v>220618</x:v>
      </x:c>
      <x:c r="Q11" s="20" t="n">
        <x:v>145369</x:v>
      </x:c>
      <x:c r="R11" s="20" t="n">
        <x:v>190</x:v>
      </x:c>
      <x:c r="S11" s="17" t="str">
        <x:v>https://chistoufa.ru/</x:v>
      </x:c>
    </x:row>
    <x:row r="12" ht="56" customHeight="1">
      <x:c r="A12" s="3" t="str">
        <x:v>До</x:v>
      </x:c>
      <x:c r="B12" s="3" t="str">
        <x:v>Главная</x:v>
      </x:c>
      <x:c r="C12" s="3" t="str">
        <x:v>Компьютер</x:v>
      </x:c>
      <x:c r="D12" s="21" t="n">
        <x:v>3</x:v>
      </x:c>
      <x:c r="E12" s="25" t="n">
        <x:v>46302.7175366088</x:v>
      </x:c>
      <x:c r="F12" s="21" t="n">
        <x:v>56.00000000000001</x:v>
      </x:c>
      <x:c r="G12" s="29" t="n">
        <x:v>5.2477277</x:v>
      </x:c>
      <x:c r="H12" s="29" t="n">
        <x:v>6.7123642</x:v>
      </x:c>
      <x:c r="I12" s="21" t="n">
        <x:v>2</x:v>
      </x:c>
      <x:c r="J12" s="33" t="n">
        <x:v>0.01093603113249247</x:v>
      </x:c>
      <x:c r="K12" s="29" t="n">
        <x:v>7.38431585225116</x:v>
      </x:c>
      <x:c r="L12" s="21" t="n">
        <x:v>1205</x:v>
      </x:c>
      <x:c r="M12" s="21" t="n">
        <x:v>14165660</x:v>
      </x:c>
      <x:c r="N12" s="21" t="n">
        <x:v>10955579</x:v>
      </x:c>
      <x:c r="O12" s="21" t="n">
        <x:v>2415189</x:v>
      </x:c>
      <x:c r="P12" s="21" t="n">
        <x:v>220618</x:v>
      </x:c>
      <x:c r="Q12" s="21" t="n">
        <x:v>145368</x:v>
      </x:c>
      <x:c r="R12" s="21" t="n">
        <x:v>191</x:v>
      </x:c>
      <x:c r="S12" s="3" t="str">
        <x:v>https://chistoufa.ru/</x:v>
      </x:c>
    </x:row>
    <x:row r="13" ht="56" customHeight="1">
      <x:c r="A13" s="17" t="str">
        <x:v>До</x:v>
      </x:c>
      <x:c r="B13" s="17" t="str">
        <x:v>Генеральная уборка</x:v>
      </x:c>
      <x:c r="C13" s="17" t="str">
        <x:v>Телефон</x:v>
      </x:c>
      <x:c r="D13" s="20" t="n">
        <x:v>1</x:v>
      </x:c>
      <x:c r="E13" s="24" t="n">
        <x:v>46302.71804090278</x:v>
      </x:c>
      <x:c r="F13" s="20" t="n">
        <x:v>41</x:v>
      </x:c>
      <x:c r="G13" s="28" t="n">
        <x:v>4.4350806</x:v>
      </x:c>
      <x:c r="H13" s="28" t="n">
        <x:v>13.9937114</x:v>
      </x:c>
      <x:c r="I13" s="20" t="n">
        <x:v>662.5</x:v>
      </x:c>
      <x:c r="J13" s="32" t="n">
        <x:v>0.0001840295391003787</x:v>
      </x:c>
      <x:c r="K13" s="28" t="n">
        <x:v>10.66660706134776</x:v>
      </x:c>
      <x:c r="L13" s="20" t="n">
        <x:v>1069</x:v>
      </x:c>
      <x:c r="M13" s="20" t="n">
        <x:v>11590321</x:v>
      </x:c>
      <x:c r="N13" s="20" t="n">
        <x:v>2470297</x:v>
      </x:c>
      <x:c r="O13" s="20" t="n">
        <x:v>3298897</x:v>
      </x:c>
      <x:c r="P13" s="20" t="n">
        <x:v>114149</x:v>
      </x:c>
      <x:c r="Q13" s="20" t="n">
        <x:v>198088</x:v>
      </x:c>
      <x:c r="R13" s="20" t="n">
        <x:v>218</x:v>
      </x:c>
      <x:c r="S13" s="17" t="str">
        <x:v>https://chistoufa.ru/generalnaya-uborka/</x:v>
      </x:c>
    </x:row>
    <x:row r="14" ht="56" customHeight="1">
      <x:c r="A14" s="3" t="str">
        <x:v>До</x:v>
      </x:c>
      <x:c r="B14" s="3" t="str">
        <x:v>Генеральная уборка</x:v>
      </x:c>
      <x:c r="C14" s="3" t="str">
        <x:v>Телефон</x:v>
      </x:c>
      <x:c r="D14" s="21" t="n">
        <x:v>2</x:v>
      </x:c>
      <x:c r="E14" s="25" t="n">
        <x:v>46302.718623877314</x:v>
      </x:c>
      <x:c r="F14" s="21" t="n">
        <x:v>42</x:v>
      </x:c>
      <x:c r="G14" s="29" t="n">
        <x:v>5.61620705</x:v>
      </x:c>
      <x:c r="H14" s="29" t="n">
        <x:v>7.995280075000002</x:v>
      </x:c>
      <x:c r="I14" s="21" t="n">
        <x:v>580.5</x:v>
      </x:c>
      <x:c r="J14" s="33" t="n">
        <x:v>0.0001840295391003787</x:v>
      </x:c>
      <x:c r="K14" s="29" t="n">
        <x:v>11.763597675966441</x:v>
      </x:c>
      <x:c r="L14" s="21" t="n">
        <x:v>1496</x:v>
      </x:c>
      <x:c r="M14" s="21" t="n">
        <x:v>10564794</x:v>
      </x:c>
      <x:c r="N14" s="21" t="n">
        <x:v>2471436</x:v>
      </x:c>
      <x:c r="O14" s="21" t="n">
        <x:v>3296493</x:v>
      </x:c>
      <x:c r="P14" s="21" t="n">
        <x:v>114149</x:v>
      </x:c>
      <x:c r="Q14" s="21" t="n">
        <x:v>197926</x:v>
      </x:c>
      <x:c r="R14" s="21" t="n">
        <x:v>220</x:v>
      </x:c>
      <x:c r="S14" s="3" t="str">
        <x:v>https://chistoufa.ru/generalnaya-uborka/</x:v>
      </x:c>
    </x:row>
    <x:row r="15" ht="56" customHeight="1">
      <x:c r="A15" s="17" t="str">
        <x:v>До</x:v>
      </x:c>
      <x:c r="B15" s="17" t="str">
        <x:v>Генеральная уборка</x:v>
      </x:c>
      <x:c r="C15" s="17" t="str">
        <x:v>Телефон</x:v>
      </x:c>
      <x:c r="D15" s="20" t="n">
        <x:v>3</x:v>
      </x:c>
      <x:c r="E15" s="24" t="n">
        <x:v>46302.71917292824</x:v>
      </x:c>
      <x:c r="F15" s="20" t="n">
        <x:v>43</x:v>
      </x:c>
      <x:c r="G15" s="28" t="n">
        <x:v>5.647954254999999</x:v>
      </x:c>
      <x:c r="H15" s="28" t="n">
        <x:v>7.467995034999999</x:v>
      </x:c>
      <x:c r="I15" s="20" t="n">
        <x:v>557.5</x:v>
      </x:c>
      <x:c r="J15" s="32" t="n">
        <x:v>0.0001840295391003787</x:v>
      </x:c>
      <x:c r="K15" s="28" t="n">
        <x:v>13.120923562790363</x:v>
      </x:c>
      <x:c r="L15" s="20" t="n">
        <x:v>1342</x:v>
      </x:c>
      <x:c r="M15" s="20" t="n">
        <x:v>11451394</x:v>
      </x:c>
      <x:c r="N15" s="20" t="n">
        <x:v>2470086</x:v>
      </x:c>
      <x:c r="O15" s="20" t="n">
        <x:v>3296473</x:v>
      </x:c>
      <x:c r="P15" s="20" t="n">
        <x:v>114149</x:v>
      </x:c>
      <x:c r="Q15" s="20" t="n">
        <x:v>197930</x:v>
      </x:c>
      <x:c r="R15" s="20" t="n">
        <x:v>219</x:v>
      </x:c>
      <x:c r="S15" s="17" t="str">
        <x:v>https://chistoufa.ru/generalnaya-uborka/</x:v>
      </x:c>
    </x:row>
    <x:row r="16" ht="56" customHeight="1">
      <x:c r="A16" s="3" t="str">
        <x:v>До</x:v>
      </x:c>
      <x:c r="B16" s="3" t="str">
        <x:v>Генеральная уборка</x:v>
      </x:c>
      <x:c r="C16" s="3" t="str">
        <x:v>Компьютер</x:v>
      </x:c>
      <x:c r="D16" s="21" t="n">
        <x:v>1</x:v>
      </x:c>
      <x:c r="E16" s="25" t="n">
        <x:v>46302.71966392361</x:v>
      </x:c>
      <x:c r="F16" s="21" t="n">
        <x:v>56.00000000000001</x:v>
      </x:c>
      <x:c r="G16" s="29" t="n">
        <x:v>4.67702102</x:v>
      </x:c>
      <x:c r="H16" s="29" t="n">
        <x:v>5.84207772</x:v>
      </x:c>
      <x:c r="I16" s="21" t="n">
        <x:v>7</x:v>
      </x:c>
      <x:c r="J16" s="33" t="n">
        <x:v>0.0003902137329533398</x:v>
      </x:c>
      <x:c r="K16" s="29" t="n">
        <x:v>6.78455709351671</x:v>
      </x:c>
      <x:c r="L16" s="21" t="n">
        <x:v>1145</x:v>
      </x:c>
      <x:c r="M16" s="21" t="n">
        <x:v>14845319</x:v>
      </x:c>
      <x:c r="N16" s="21" t="n">
        <x:v>2518255</x:v>
      </x:c>
      <x:c r="O16" s="21" t="n">
        <x:v>2416116</x:v>
      </x:c>
      <x:c r="P16" s="21" t="n">
        <x:v>114149</x:v>
      </x:c>
      <x:c r="Q16" s="21" t="n">
        <x:v>145645</x:v>
      </x:c>
      <x:c r="R16" s="21" t="n">
        <x:v>233</x:v>
      </x:c>
      <x:c r="S16" s="3" t="str">
        <x:v>https://chistoufa.ru/generalnaya-uborka/</x:v>
      </x:c>
    </x:row>
    <x:row r="17" ht="56" customHeight="1">
      <x:c r="A17" s="17" t="str">
        <x:v>До</x:v>
      </x:c>
      <x:c r="B17" s="17" t="str">
        <x:v>Генеральная уборка</x:v>
      </x:c>
      <x:c r="C17" s="17" t="str">
        <x:v>Компьютер</x:v>
      </x:c>
      <x:c r="D17" s="20" t="n">
        <x:v>2</x:v>
      </x:c>
      <x:c r="E17" s="24" t="n">
        <x:v>46302.72016578704</x:v>
      </x:c>
      <x:c r="F17" s="20" t="n">
        <x:v>56.99999999999999</x:v>
      </x:c>
      <x:c r="G17" s="28" t="n">
        <x:v>3.3957752</x:v>
      </x:c>
      <x:c r="H17" s="28" t="n">
        <x:v>5.063547600000001</x:v>
      </x:c>
      <x:c r="I17" s="20" t="n">
        <x:v>3.5</x:v>
      </x:c>
      <x:c r="J17" s="32" t="n">
        <x:v>0.00007385848970164296</x:v>
      </x:c>
      <x:c r="K17" s="28" t="n">
        <x:v>5.550463038922551</x:v>
      </x:c>
      <x:c r="L17" s="20" t="n">
        <x:v>1113</x:v>
      </x:c>
      <x:c r="M17" s="20" t="n">
        <x:v>13182017</x:v>
      </x:c>
      <x:c r="N17" s="20" t="n">
        <x:v>2519243</x:v>
      </x:c>
      <x:c r="O17" s="20" t="n">
        <x:v>2415123</x:v>
      </x:c>
      <x:c r="P17" s="20" t="n">
        <x:v>114149</x:v>
      </x:c>
      <x:c r="Q17" s="20" t="n">
        <x:v>145580</x:v>
      </x:c>
      <x:c r="R17" s="20" t="n">
        <x:v>240</x:v>
      </x:c>
      <x:c r="S17" s="17" t="str">
        <x:v>https://chistoufa.ru/generalnaya-uborka/</x:v>
      </x:c>
    </x:row>
    <x:row r="18" ht="56" customHeight="1">
      <x:c r="A18" s="3" t="str">
        <x:v>До</x:v>
      </x:c>
      <x:c r="B18" s="3" t="str">
        <x:v>Генеральная уборка</x:v>
      </x:c>
      <x:c r="C18" s="3" t="str">
        <x:v>Компьютер</x:v>
      </x:c>
      <x:c r="D18" s="21" t="n">
        <x:v>3</x:v>
      </x:c>
      <x:c r="E18" s="25" t="n">
        <x:v>46302.720768680556</x:v>
      </x:c>
      <x:c r="F18" s="21" t="n">
        <x:v>57.99999999999999</x:v>
      </x:c>
      <x:c r="G18" s="29" t="n">
        <x:v>3.4955282475000002</x:v>
      </x:c>
      <x:c r="H18" s="29" t="n">
        <x:v>4.835590102499999</x:v>
      </x:c>
      <x:c r="I18" s="21" t="n">
        <x:v>1.5</x:v>
      </x:c>
      <x:c r="J18" s="33" t="n">
        <x:v>0.00007612675167276858</x:v>
      </x:c>
      <x:c r="K18" s="29" t="n">
        <x:v>5.193609192490385</x:v>
      </x:c>
      <x:c r="L18" s="21" t="n">
        <x:v>1067</x:v>
      </x:c>
      <x:c r="M18" s="21" t="n">
        <x:v>14796076</x:v>
      </x:c>
      <x:c r="N18" s="21" t="n">
        <x:v>2518760</x:v>
      </x:c>
      <x:c r="O18" s="21" t="n">
        <x:v>2415142</x:v>
      </x:c>
      <x:c r="P18" s="21" t="n">
        <x:v>114149</x:v>
      </x:c>
      <x:c r="Q18" s="21" t="n">
        <x:v>145579</x:v>
      </x:c>
      <x:c r="R18" s="21" t="n">
        <x:v>234</x:v>
      </x:c>
      <x:c r="S18" s="3" t="str">
        <x:v>https://chistoufa.ru/generalnaya-uborka/</x:v>
      </x:c>
    </x:row>
    <x:row r="19" ht="56" customHeight="1">
      <x:c r="A19" s="17" t="str">
        <x:v>До</x:v>
      </x:c>
      <x:c r="B19" s="17" t="str">
        <x:v>Уборка после ремонта</x:v>
      </x:c>
      <x:c r="C19" s="17" t="str">
        <x:v>Телефон</x:v>
      </x:c>
      <x:c r="D19" s="20" t="n">
        <x:v>1</x:v>
      </x:c>
      <x:c r="E19" s="24" t="n">
        <x:v>46302.72131016204</x:v>
      </x:c>
      <x:c r="F19" s="20" t="n">
        <x:v>49</x:v>
      </x:c>
      <x:c r="G19" s="28" t="n">
        <x:v>5.5249346</x:v>
      </x:c>
      <x:c r="H19" s="28" t="n">
        <x:v>9.1094252</x:v>
      </x:c>
      <x:c r="I19" s="20" t="n">
        <x:v>319.5</x:v>
      </x:c>
      <x:c r="J19" s="32" t="n">
        <x:v>0.0124422153797798</x:v>
      </x:c>
      <x:c r="K19" s="28" t="n">
        <x:v>11.84217426575595</x:v>
      </x:c>
      <x:c r="L19" s="20" t="n">
        <x:v>838</x:v>
      </x:c>
      <x:c r="M19" s="20" t="n">
        <x:v>3348328</x:v>
      </x:c>
      <x:c r="N19" s="20" t="n">
        <x:v>2107844</x:v>
      </x:c>
      <x:c r="O19" s="20" t="n">
        <x:v>1024723</x:v>
      </x:c>
      <x:c r="P19" s="20" t="n">
        <x:v>114149</x:v>
      </x:c>
      <x:c r="Q19" s="20" t="n">
        <x:v>29643</x:v>
      </x:c>
      <x:c r="R19" s="20" t="n">
        <x:v>63</x:v>
      </x:c>
      <x:c r="S19" s="17" t="str">
        <x:v>https://chistoufa.ru/stati/uborka-posle-remonta-kommercheskikh-pomeshcheniy/</x:v>
      </x:c>
    </x:row>
    <x:row r="20" ht="56" customHeight="1">
      <x:c r="A20" s="3" t="str">
        <x:v>До</x:v>
      </x:c>
      <x:c r="B20" s="3" t="str">
        <x:v>Уборка после ремонта</x:v>
      </x:c>
      <x:c r="C20" s="3" t="str">
        <x:v>Телефон</x:v>
      </x:c>
      <x:c r="D20" s="21" t="n">
        <x:v>2</x:v>
      </x:c>
      <x:c r="E20" s="25" t="n">
        <x:v>46302.721641828706</x:v>
      </x:c>
      <x:c r="F20" s="21" t="n">
        <x:v>63</x:v>
      </x:c>
      <x:c r="G20" s="29" t="n">
        <x:v>4.2721286</x:v>
      </x:c>
      <x:c r="H20" s="29" t="n">
        <x:v>4.2721286</x:v>
      </x:c>
      <x:c r="I20" s="21" t="n">
        <x:v>313.5</x:v>
      </x:c>
      <x:c r="J20" s="33" t="n">
        <x:v>0.0124422153797798</x:v>
      </x:c>
      <x:c r="K20" s="29" t="n">
        <x:v>7.9517479394383646</x:v>
      </x:c>
      <x:c r="L20" s="21" t="n">
        <x:v>804</x:v>
      </x:c>
      <x:c r="M20" s="21" t="n">
        <x:v>3336800</x:v>
      </x:c>
      <x:c r="N20" s="21" t="n">
        <x:v>2109612</x:v>
      </x:c>
      <x:c r="O20" s="21" t="n">
        <x:v>1024778</x:v>
      </x:c>
      <x:c r="P20" s="21" t="n">
        <x:v>114149</x:v>
      </x:c>
      <x:c r="Q20" s="21" t="n">
        <x:v>29643</x:v>
      </x:c>
      <x:c r="R20" s="21" t="n">
        <x:v>65</x:v>
      </x:c>
      <x:c r="S20" s="3" t="str">
        <x:v>https://chistoufa.ru/stati/uborka-posle-remonta-kommercheskikh-pomeshcheniy/</x:v>
      </x:c>
    </x:row>
    <x:row r="21" ht="56" customHeight="1">
      <x:c r="A21" s="17" t="str">
        <x:v>До</x:v>
      </x:c>
      <x:c r="B21" s="17" t="str">
        <x:v>Уборка после ремонта</x:v>
      </x:c>
      <x:c r="C21" s="17" t="str">
        <x:v>Телефон</x:v>
      </x:c>
      <x:c r="D21" s="20" t="n">
        <x:v>3</x:v>
      </x:c>
      <x:c r="E21" s="24" t="n">
        <x:v>46302.725692719905</x:v>
      </x:c>
      <x:c r="F21" s="20" t="n">
        <x:v>51</x:v>
      </x:c>
      <x:c r="G21" s="28" t="n">
        <x:v>7.02115735</x:v>
      </x:c>
      <x:c r="H21" s="28" t="n">
        <x:v>10.6365802</x:v>
      </x:c>
      <x:c r="I21" s="20" t="n">
        <x:v>224.5</x:v>
      </x:c>
      <x:c r="J21" s="32" t="n">
        <x:v>0.0124422153797798</x:v>
      </x:c>
      <x:c r="K21" s="28" t="n">
        <x:v>15.09076654432432</x:v>
      </x:c>
      <x:c r="L21" s="20" t="n">
        <x:v>847</x:v>
      </x:c>
      <x:c r="M21" s="20" t="n">
        <x:v>3348254</x:v>
      </x:c>
      <x:c r="N21" s="20" t="n">
        <x:v>2108037</x:v>
      </x:c>
      <x:c r="O21" s="20" t="n">
        <x:v>1024746</x:v>
      </x:c>
      <x:c r="P21" s="20" t="n">
        <x:v>114149</x:v>
      </x:c>
      <x:c r="Q21" s="20" t="n">
        <x:v>29643</x:v>
      </x:c>
      <x:c r="R21" s="20" t="n">
        <x:v>64</x:v>
      </x:c>
      <x:c r="S21" s="17" t="str">
        <x:v>https://chistoufa.ru/stati/uborka-posle-remonta-kommercheskikh-pomeshcheniy/</x:v>
      </x:c>
    </x:row>
    <x:row r="22" ht="56" customHeight="1">
      <x:c r="A22" s="3" t="str">
        <x:v>До</x:v>
      </x:c>
      <x:c r="B22" s="3" t="str">
        <x:v>Уборка после ремонта</x:v>
      </x:c>
      <x:c r="C22" s="3" t="str">
        <x:v>Компьютер</x:v>
      </x:c>
      <x:c r="D22" s="21" t="n">
        <x:v>1</x:v>
      </x:c>
      <x:c r="E22" s="25" t="n">
        <x:v>46302.72611175926</x:v>
      </x:c>
      <x:c r="F22" s="21" t="n">
        <x:v>57.99999999999999</x:v>
      </x:c>
      <x:c r="G22" s="29" t="n">
        <x:v>4.094180599999999</x:v>
      </x:c>
      <x:c r="H22" s="29" t="n">
        <x:v>4.702268699999999</x:v>
      </x:c>
      <x:c r="I22" s="21" t="n">
        <x:v>4</x:v>
      </x:c>
      <x:c r="J22" s="33" t="n">
        <x:v>0.0002644906778163681</x:v>
      </x:c>
      <x:c r="K22" s="29" t="n">
        <x:v>9.20888562566744</x:v>
      </x:c>
      <x:c r="L22" s="21" t="n">
        <x:v>801</x:v>
      </x:c>
      <x:c r="M22" s="21" t="n">
        <x:v>3134230</x:v>
      </x:c>
      <x:c r="N22" s="21" t="n">
        <x:v>1893233</x:v>
      </x:c>
      <x:c r="O22" s="21" t="n">
        <x:v>1024362</x:v>
      </x:c>
      <x:c r="P22" s="21" t="n">
        <x:v>114149</x:v>
      </x:c>
      <x:c r="Q22" s="21" t="n">
        <x:v>29643</x:v>
      </x:c>
      <x:c r="R22" s="21" t="n">
        <x:v>76</x:v>
      </x:c>
      <x:c r="S22" s="3" t="str">
        <x:v>https://chistoufa.ru/stati/uborka-posle-remonta-kommercheskikh-pomeshcheniy/</x:v>
      </x:c>
    </x:row>
    <x:row r="23" ht="56" customHeight="1">
      <x:c r="A23" s="17" t="str">
        <x:v>До</x:v>
      </x:c>
      <x:c r="B23" s="17" t="str">
        <x:v>Уборка после ремонта</x:v>
      </x:c>
      <x:c r="C23" s="17" t="str">
        <x:v>Компьютер</x:v>
      </x:c>
      <x:c r="D23" s="20" t="n">
        <x:v>2</x:v>
      </x:c>
      <x:c r="E23" s="24" t="n">
        <x:v>46302.726532256944</x:v>
      </x:c>
      <x:c r="F23" s="20" t="n">
        <x:v>52</x:v>
      </x:c>
      <x:c r="G23" s="28" t="n">
        <x:v>7.291886400000001</x:v>
      </x:c>
      <x:c r="H23" s="28" t="n">
        <x:v>7.308886400000001</x:v>
      </x:c>
      <x:c r="I23" s="20" t="n">
        <x:v>0</x:v>
      </x:c>
      <x:c r="J23" s="32" t="n">
        <x:v>0.1050079607041521</x:v>
      </x:c>
      <x:c r="K23" s="28" t="n">
        <x:v>8.188966930377692</x:v>
      </x:c>
      <x:c r="L23" s="20" t="n">
        <x:v>580</x:v>
      </x:c>
      <x:c r="M23" s="20" t="n">
        <x:v>3383134</x:v>
      </x:c>
      <x:c r="N23" s="20" t="n">
        <x:v>2156051</x:v>
      </x:c>
      <x:c r="O23" s="20" t="n">
        <x:v>1024753</x:v>
      </x:c>
      <x:c r="P23" s="20" t="n">
        <x:v>114149</x:v>
      </x:c>
      <x:c r="Q23" s="20" t="n">
        <x:v>29643</x:v>
      </x:c>
      <x:c r="R23" s="20" t="n">
        <x:v>72</x:v>
      </x:c>
      <x:c r="S23" s="17" t="str">
        <x:v>https://chistoufa.ru/stati/uborka-posle-remonta-kommercheskikh-pomeshcheniy/</x:v>
      </x:c>
    </x:row>
    <x:row r="24" ht="56" customHeight="1">
      <x:c r="A24" s="3" t="str">
        <x:v>До</x:v>
      </x:c>
      <x:c r="B24" s="3" t="str">
        <x:v>Уборка после ремонта</x:v>
      </x:c>
      <x:c r="C24" s="3" t="str">
        <x:v>Компьютер</x:v>
      </x:c>
      <x:c r="D24" s="21" t="n">
        <x:v>3</x:v>
      </x:c>
      <x:c r="E24" s="25" t="n">
        <x:v>46302.72690637731</x:v>
      </x:c>
      <x:c r="F24" s="21" t="n">
        <x:v>59</x:v>
      </x:c>
      <x:c r="G24" s="29" t="n">
        <x:v>2.5565374000000003</x:v>
      </x:c>
      <x:c r="H24" s="29" t="n">
        <x:v>4.1291534</x:v>
      </x:c>
      <x:c r="I24" s="21" t="n">
        <x:v>2.5</x:v>
      </x:c>
      <x:c r="J24" s="33" t="n">
        <x:v>0.10506565961804261</x:v>
      </x:c>
      <x:c r="K24" s="29" t="n">
        <x:v>3.4825438226510093</x:v>
      </x:c>
      <x:c r="L24" s="21" t="n">
        <x:v>588</x:v>
      </x:c>
      <x:c r="M24" s="21" t="n">
        <x:v>3382906</x:v>
      </x:c>
      <x:c r="N24" s="21" t="n">
        <x:v>2155954</x:v>
      </x:c>
      <x:c r="O24" s="21" t="n">
        <x:v>1024816</x:v>
      </x:c>
      <x:c r="P24" s="21" t="n">
        <x:v>114149</x:v>
      </x:c>
      <x:c r="Q24" s="21" t="n">
        <x:v>29643</x:v>
      </x:c>
      <x:c r="R24" s="21" t="n">
        <x:v>71</x:v>
      </x:c>
      <x:c r="S24" s="3" t="str">
        <x:v>https://chistoufa.ru/stati/uborka-posle-remonta-kommercheskikh-pomeshcheniy/</x:v>
      </x:c>
    </x:row>
    <x:row r="25" ht="56" customHeight="1">
      <x:c r="A25" s="17" t="str">
        <x:v>После</x:v>
      </x:c>
      <x:c r="B25" s="17" t="str">
        <x:v>Главная</x:v>
      </x:c>
      <x:c r="C25" s="17" t="str">
        <x:v>Телефон</x:v>
      </x:c>
      <x:c r="D25" s="20" t="n">
        <x:v>1</x:v>
      </x:c>
      <x:c r="E25" s="24" t="n">
        <x:v>46302.75725248842</x:v>
      </x:c>
      <x:c r="F25" s="20" t="n">
        <x:v>79</x:v>
      </x:c>
      <x:c r="G25" s="28" t="n">
        <x:v>3.3789251</x:v>
      </x:c>
      <x:c r="H25" s="28" t="n">
        <x:v>3.3789251000000005</x:v>
      </x:c>
      <x:c r="I25" s="20" t="n">
        <x:v>67.5</x:v>
      </x:c>
      <x:c r="J25" s="32" t="n">
        <x:v>0</x:v>
      </x:c>
      <x:c r="K25" s="28" t="n">
        <x:v>6.645368347654583</x:v>
      </x:c>
      <x:c r="L25" s="20" t="n">
        <x:v>1096</x:v>
      </x:c>
      <x:c r="M25" s="20" t="n">
        <x:v>1292834</x:v>
      </x:c>
      <x:c r="N25" s="20" t="n">
        <x:v>661993</x:v>
      </x:c>
      <x:c r="O25" s="20" t="n">
        <x:v>305500</x:v>
      </x:c>
      <x:c r="P25" s="20" t="n">
        <x:v>220618</x:v>
      </x:c>
      <x:c r="Q25" s="20" t="n">
        <x:v>30521</x:v>
      </x:c>
      <x:c r="R25" s="20" t="n">
        <x:v>70</x:v>
      </x:c>
      <x:c r="S25" s="17" t="str">
        <x:v>https://chistoufa.ru/</x:v>
      </x:c>
    </x:row>
    <x:row r="26" ht="56" customHeight="1">
      <x:c r="A26" s="3" t="str">
        <x:v>После</x:v>
      </x:c>
      <x:c r="B26" s="3" t="str">
        <x:v>Главная</x:v>
      </x:c>
      <x:c r="C26" s="3" t="str">
        <x:v>Телефон</x:v>
      </x:c>
      <x:c r="D26" s="21" t="n">
        <x:v>2</x:v>
      </x:c>
      <x:c r="E26" s="25" t="n">
        <x:v>46302.757514826386</x:v>
      </x:c>
      <x:c r="F26" s="21" t="n">
        <x:v>75</x:v>
      </x:c>
      <x:c r="G26" s="29" t="n">
        <x:v>3.4758397099999994</x:v>
      </x:c>
      <x:c r="H26" s="29" t="n">
        <x:v>3.8846642399999993</x:v>
      </x:c>
      <x:c r="I26" s="21" t="n">
        <x:v>108.5</x:v>
      </x:c>
      <x:c r="J26" s="33" t="n">
        <x:v>0</x:v>
      </x:c>
      <x:c r="K26" s="29" t="n">
        <x:v>6.585331357014422</x:v>
      </x:c>
      <x:c r="L26" s="21" t="n">
        <x:v>988</x:v>
      </x:c>
      <x:c r="M26" s="21" t="n">
        <x:v>1292278</x:v>
      </x:c>
      <x:c r="N26" s="21" t="n">
        <x:v>661681</x:v>
      </x:c>
      <x:c r="O26" s="21" t="n">
        <x:v>305315</x:v>
      </x:c>
      <x:c r="P26" s="21" t="n">
        <x:v>220618</x:v>
      </x:c>
      <x:c r="Q26" s="21" t="n">
        <x:v>30521</x:v>
      </x:c>
      <x:c r="R26" s="21" t="n">
        <x:v>70</x:v>
      </x:c>
      <x:c r="S26" s="3" t="str">
        <x:v>https://chistoufa.ru/</x:v>
      </x:c>
    </x:row>
    <x:row r="27" ht="56" customHeight="1">
      <x:c r="A27" s="17" t="str">
        <x:v>После</x:v>
      </x:c>
      <x:c r="B27" s="17" t="str">
        <x:v>Главная</x:v>
      </x:c>
      <x:c r="C27" s="17" t="str">
        <x:v>Телефон</x:v>
      </x:c>
      <x:c r="D27" s="20" t="n">
        <x:v>3</x:v>
      </x:c>
      <x:c r="E27" s="24" t="n">
        <x:v>46302.75778034722</x:v>
      </x:c>
      <x:c r="F27" s="20" t="n">
        <x:v>78</x:v>
      </x:c>
      <x:c r="G27" s="28" t="n">
        <x:v>3.49942887</x:v>
      </x:c>
      <x:c r="H27" s="28" t="n">
        <x:v>3.4994288700000005</x:v>
      </x:c>
      <x:c r="I27" s="20" t="n">
        <x:v>48</x:v>
      </x:c>
      <x:c r="J27" s="32" t="n">
        <x:v>0</x:v>
      </x:c>
      <x:c r="K27" s="28" t="n">
        <x:v>6.651752823737132</x:v>
      </x:c>
      <x:c r="L27" s="20" t="n">
        <x:v>998</x:v>
      </x:c>
      <x:c r="M27" s="20" t="n">
        <x:v>1292654</x:v>
      </x:c>
      <x:c r="N27" s="20" t="n">
        <x:v>662121</x:v>
      </x:c>
      <x:c r="O27" s="20" t="n">
        <x:v>305232</x:v>
      </x:c>
      <x:c r="P27" s="20" t="n">
        <x:v>220618</x:v>
      </x:c>
      <x:c r="Q27" s="20" t="n">
        <x:v>30521</x:v>
      </x:c>
      <x:c r="R27" s="20" t="n">
        <x:v>70</x:v>
      </x:c>
      <x:c r="S27" s="17" t="str">
        <x:v>https://chistoufa.ru/</x:v>
      </x:c>
    </x:row>
    <x:row r="28" ht="56" customHeight="1">
      <x:c r="A28" s="3" t="str">
        <x:v>После</x:v>
      </x:c>
      <x:c r="B28" s="3" t="str">
        <x:v>Главная</x:v>
      </x:c>
      <x:c r="C28" s="3" t="str">
        <x:v>Компьютер</x:v>
      </x:c>
      <x:c r="D28" s="21" t="n">
        <x:v>1</x:v>
      </x:c>
      <x:c r="E28" s="25" t="n">
        <x:v>46302.75805960648</x:v>
      </x:c>
      <x:c r="F28" s="21" t="n">
        <x:v>72</x:v>
      </x:c>
      <x:c r="G28" s="29" t="n">
        <x:v>2.12293024</x:v>
      </x:c>
      <x:c r="H28" s="29" t="n">
        <x:v>2.4379597800000004</x:v>
      </x:c>
      <x:c r="I28" s="21" t="n">
        <x:v>0</x:v>
      </x:c>
      <x:c r="J28" s="33" t="n">
        <x:v>0.010211079982200109</x:v>
      </x:c>
      <x:c r="K28" s="29" t="n">
        <x:v>3.061819917493851</x:v>
      </x:c>
      <x:c r="L28" s="21" t="n">
        <x:v>1040</x:v>
      </x:c>
      <x:c r="M28" s="21" t="n">
        <x:v>2367913</x:v>
      </x:c>
      <x:c r="N28" s="21" t="n">
        <x:v>1737302</x:v>
      </x:c>
      <x:c r="O28" s="21" t="n">
        <x:v>305241</x:v>
      </x:c>
      <x:c r="P28" s="21" t="n">
        <x:v>220618</x:v>
      </x:c>
      <x:c r="Q28" s="21" t="n">
        <x:v>30521</x:v>
      </x:c>
      <x:c r="R28" s="21" t="n">
        <x:v>80</x:v>
      </x:c>
      <x:c r="S28" s="3" t="str">
        <x:v>https://chistoufa.ru/</x:v>
      </x:c>
    </x:row>
    <x:row r="29" ht="56" customHeight="1">
      <x:c r="A29" s="17" t="str">
        <x:v>После</x:v>
      </x:c>
      <x:c r="B29" s="17" t="str">
        <x:v>Главная</x:v>
      </x:c>
      <x:c r="C29" s="17" t="str">
        <x:v>Компьютер</x:v>
      </x:c>
      <x:c r="D29" s="20" t="n">
        <x:v>2</x:v>
      </x:c>
      <x:c r="E29" s="24" t="n">
        <x:v>46302.75833747685</x:v>
      </x:c>
      <x:c r="F29" s="20" t="n">
        <x:v>70</x:v>
      </x:c>
      <x:c r="G29" s="28" t="n">
        <x:v>2.2130944000000006</x:v>
      </x:c>
      <x:c r="H29" s="28" t="n">
        <x:v>2.5420123</x:v>
      </x:c>
      <x:c r="I29" s="20" t="n">
        <x:v>0</x:v>
      </x:c>
      <x:c r="J29" s="32" t="n">
        <x:v>0.01063298715477277</x:v>
      </x:c>
      <x:c r="K29" s="28" t="n">
        <x:v>3.519720853646605</x:v>
      </x:c>
      <x:c r="L29" s="20" t="n">
        <x:v>1164</x:v>
      </x:c>
      <x:c r="M29" s="20" t="n">
        <x:v>2367974</x:v>
      </x:c>
      <x:c r="N29" s="20" t="n">
        <x:v>1737435</x:v>
      </x:c>
      <x:c r="O29" s="20" t="n">
        <x:v>305209</x:v>
      </x:c>
      <x:c r="P29" s="20" t="n">
        <x:v>220618</x:v>
      </x:c>
      <x:c r="Q29" s="20" t="n">
        <x:v>30521</x:v>
      </x:c>
      <x:c r="R29" s="20" t="n">
        <x:v>80</x:v>
      </x:c>
      <x:c r="S29" s="17" t="str">
        <x:v>https://chistoufa.ru/</x:v>
      </x:c>
    </x:row>
    <x:row r="30" ht="56" customHeight="1">
      <x:c r="A30" s="3" t="str">
        <x:v>После</x:v>
      </x:c>
      <x:c r="B30" s="3" t="str">
        <x:v>Главная</x:v>
      </x:c>
      <x:c r="C30" s="3" t="str">
        <x:v>Компьютер</x:v>
      </x:c>
      <x:c r="D30" s="21" t="n">
        <x:v>3</x:v>
      </x:c>
      <x:c r="E30" s="25" t="n">
        <x:v>46302.758625138886</x:v>
      </x:c>
      <x:c r="F30" s="21" t="n">
        <x:v>72</x:v>
      </x:c>
      <x:c r="G30" s="29" t="n">
        <x:v>2.0799576400000004</x:v>
      </x:c>
      <x:c r="H30" s="29" t="n">
        <x:v>2.3842510800000003</x:v>
      </x:c>
      <x:c r="I30" s="21" t="n">
        <x:v>0</x:v>
      </x:c>
      <x:c r="J30" s="33" t="n">
        <x:v>0.010211079982200109</x:v>
      </x:c>
      <x:c r="K30" s="29" t="n">
        <x:v>3.136093933675804</x:v>
      </x:c>
      <x:c r="L30" s="21" t="n">
        <x:v>1041</x:v>
      </x:c>
      <x:c r="M30" s="21" t="n">
        <x:v>2367837</x:v>
      </x:c>
      <x:c r="N30" s="21" t="n">
        <x:v>1737303</x:v>
      </x:c>
      <x:c r="O30" s="21" t="n">
        <x:v>305211</x:v>
      </x:c>
      <x:c r="P30" s="21" t="n">
        <x:v>220618</x:v>
      </x:c>
      <x:c r="Q30" s="21" t="n">
        <x:v>30521</x:v>
      </x:c>
      <x:c r="R30" s="21" t="n">
        <x:v>80</x:v>
      </x:c>
      <x:c r="S30" s="3" t="str">
        <x:v>https://chistoufa.ru/</x:v>
      </x:c>
    </x:row>
    <x:row r="31" ht="56" customHeight="1">
      <x:c r="A31" s="17" t="str">
        <x:v>После</x:v>
      </x:c>
      <x:c r="B31" s="17" t="str">
        <x:v>Генеральная уборка</x:v>
      </x:c>
      <x:c r="C31" s="17" t="str">
        <x:v>Телефон</x:v>
      </x:c>
      <x:c r="D31" s="20" t="n">
        <x:v>1</x:v>
      </x:c>
      <x:c r="E31" s="24" t="n">
        <x:v>46302.758900925925</x:v>
      </x:c>
      <x:c r="F31" s="20" t="n">
        <x:v>74</x:v>
      </x:c>
      <x:c r="G31" s="28" t="n">
        <x:v>3.6883975999999996</x:v>
      </x:c>
      <x:c r="H31" s="28" t="n">
        <x:v>4.0843904</x:v>
      </x:c>
      <x:c r="I31" s="20" t="n">
        <x:v>51</x:v>
      </x:c>
      <x:c r="J31" s="32" t="n">
        <x:v>0.00006358583500249919</x:v>
      </x:c>
      <x:c r="K31" s="28" t="n">
        <x:v>6.474580438180172</x:v>
      </x:c>
      <x:c r="L31" s="20" t="n">
        <x:v>1028</x:v>
      </x:c>
      <x:c r="M31" s="20" t="n">
        <x:v>1654521</x:v>
      </x:c>
      <x:c r="N31" s="20" t="n">
        <x:v>1139160</x:v>
      </x:c>
      <x:c r="O31" s="20" t="n">
        <x:v>305240</x:v>
      </x:c>
      <x:c r="P31" s="20" t="n">
        <x:v>114149</x:v>
      </x:c>
      <x:c r="Q31" s="20" t="n">
        <x:v>30727</x:v>
      </x:c>
      <x:c r="R31" s="20" t="n">
        <x:v>61</x:v>
      </x:c>
      <x:c r="S31" s="17" t="str">
        <x:v>https://chistoufa.ru/generalnaya-uborka/</x:v>
      </x:c>
    </x:row>
    <x:row r="32" ht="56" customHeight="1">
      <x:c r="A32" s="3" t="str">
        <x:v>После</x:v>
      </x:c>
      <x:c r="B32" s="3" t="str">
        <x:v>Генеральная уборка</x:v>
      </x:c>
      <x:c r="C32" s="3" t="str">
        <x:v>Телефон</x:v>
      </x:c>
      <x:c r="D32" s="21" t="n">
        <x:v>2</x:v>
      </x:c>
      <x:c r="E32" s="25" t="n">
        <x:v>46302.759147337965</x:v>
      </x:c>
      <x:c r="F32" s="21" t="n">
        <x:v>74</x:v>
      </x:c>
      <x:c r="G32" s="29" t="n">
        <x:v>3.6794034</x:v>
      </x:c>
      <x:c r="H32" s="29" t="n">
        <x:v>4.0727146</x:v>
      </x:c>
      <x:c r="I32" s="21" t="n">
        <x:v>43</x:v>
      </x:c>
      <x:c r="J32" s="33" t="n">
        <x:v>0</x:v>
      </x:c>
      <x:c r="K32" s="29" t="n">
        <x:v>6.616102492974162</x:v>
      </x:c>
      <x:c r="L32" s="21" t="n">
        <x:v>1078</x:v>
      </x:c>
      <x:c r="M32" s="21" t="n">
        <x:v>1654104</x:v>
      </x:c>
      <x:c r="N32" s="21" t="n">
        <x:v>1138817</x:v>
      </x:c>
      <x:c r="O32" s="21" t="n">
        <x:v>305222</x:v>
      </x:c>
      <x:c r="P32" s="21" t="n">
        <x:v>114149</x:v>
      </x:c>
      <x:c r="Q32" s="21" t="n">
        <x:v>30727</x:v>
      </x:c>
      <x:c r="R32" s="21" t="n">
        <x:v>61</x:v>
      </x:c>
      <x:c r="S32" s="3" t="str">
        <x:v>https://chistoufa.ru/generalnaya-uborka/</x:v>
      </x:c>
    </x:row>
    <x:row r="33" ht="56" customHeight="1">
      <x:c r="A33" s="17" t="str">
        <x:v>После</x:v>
      </x:c>
      <x:c r="B33" s="17" t="str">
        <x:v>Генеральная уборка</x:v>
      </x:c>
      <x:c r="C33" s="17" t="str">
        <x:v>Телефон</x:v>
      </x:c>
      <x:c r="D33" s="20" t="n">
        <x:v>3</x:v>
      </x:c>
      <x:c r="E33" s="24" t="n">
        <x:v>46302.759391493055</x:v>
      </x:c>
      <x:c r="F33" s="20" t="n">
        <x:v>74</x:v>
      </x:c>
      <x:c r="G33" s="28" t="n">
        <x:v>3.6151171</x:v>
      </x:c>
      <x:c r="H33" s="28" t="n">
        <x:v>4.0020409</x:v>
      </x:c>
      <x:c r="I33" s="20" t="n">
        <x:v>52</x:v>
      </x:c>
      <x:c r="J33" s="32" t="n">
        <x:v>0</x:v>
      </x:c>
      <x:c r="K33" s="28" t="n">
        <x:v>6.548319960394135</x:v>
      </x:c>
      <x:c r="L33" s="20" t="n">
        <x:v>1025</x:v>
      </x:c>
      <x:c r="M33" s="20" t="n">
        <x:v>1654171</x:v>
      </x:c>
      <x:c r="N33" s="20" t="n">
        <x:v>1138846</x:v>
      </x:c>
      <x:c r="O33" s="20" t="n">
        <x:v>305258</x:v>
      </x:c>
      <x:c r="P33" s="20" t="n">
        <x:v>114149</x:v>
      </x:c>
      <x:c r="Q33" s="20" t="n">
        <x:v>30727</x:v>
      </x:c>
      <x:c r="R33" s="20" t="n">
        <x:v>61</x:v>
      </x:c>
      <x:c r="S33" s="17" t="str">
        <x:v>https://chistoufa.ru/generalnaya-uborka/</x:v>
      </x:c>
    </x:row>
    <x:row r="34" ht="56" customHeight="1">
      <x:c r="A34" s="3" t="str">
        <x:v>После</x:v>
      </x:c>
      <x:c r="B34" s="3" t="str">
        <x:v>Генеральная уборка</x:v>
      </x:c>
      <x:c r="C34" s="3" t="str">
        <x:v>Компьютер</x:v>
      </x:c>
      <x:c r="D34" s="21" t="n">
        <x:v>1</x:v>
      </x:c>
      <x:c r="E34" s="25" t="n">
        <x:v>46302.75964106482</x:v>
      </x:c>
      <x:c r="F34" s="21" t="n">
        <x:v>71</x:v>
      </x:c>
      <x:c r="G34" s="29" t="n">
        <x:v>2.1996153400000003</x:v>
      </x:c>
      <x:c r="H34" s="29" t="n">
        <x:v>2.4934677300000003</x:v>
      </x:c>
      <x:c r="I34" s="21" t="n">
        <x:v>0</x:v>
      </x:c>
      <x:c r="J34" s="33" t="n">
        <x:v>0.00007385848970164296</x:v>
      </x:c>
      <x:c r="K34" s="29" t="n">
        <x:v>3.106523703865461</x:v>
      </x:c>
      <x:c r="L34" s="21" t="n">
        <x:v>1141</x:v>
      </x:c>
      <x:c r="M34" s="21" t="n">
        <x:v>2208724</x:v>
      </x:c>
      <x:c r="N34" s="21" t="n">
        <x:v>1693235</x:v>
      </x:c>
      <x:c r="O34" s="21" t="n">
        <x:v>305350</x:v>
      </x:c>
      <x:c r="P34" s="21" t="n">
        <x:v>114149</x:v>
      </x:c>
      <x:c r="Q34" s="21" t="n">
        <x:v>30727</x:v>
      </x:c>
      <x:c r="R34" s="21" t="n">
        <x:v>62</x:v>
      </x:c>
      <x:c r="S34" s="3" t="str">
        <x:v>https://chistoufa.ru/generalnaya-uborka/</x:v>
      </x:c>
    </x:row>
    <x:row r="35" ht="56" customHeight="1">
      <x:c r="A35" s="17" t="str">
        <x:v>После</x:v>
      </x:c>
      <x:c r="B35" s="17" t="str">
        <x:v>Генеральная уборка</x:v>
      </x:c>
      <x:c r="C35" s="17" t="str">
        <x:v>Компьютер</x:v>
      </x:c>
      <x:c r="D35" s="20" t="n">
        <x:v>2</x:v>
      </x:c>
      <x:c r="E35" s="24" t="n">
        <x:v>46302.75988653935</x:v>
      </x:c>
      <x:c r="F35" s="20" t="n">
        <x:v>70</x:v>
      </x:c>
      <x:c r="G35" s="28" t="n">
        <x:v>2.3294348</x:v>
      </x:c>
      <x:c r="H35" s="28" t="n">
        <x:v>2.6475376</x:v>
      </x:c>
      <x:c r="I35" s="20" t="n">
        <x:v>0</x:v>
      </x:c>
      <x:c r="J35" s="32" t="n">
        <x:v>0.00007612675167276858</x:v>
      </x:c>
      <x:c r="K35" s="28" t="n">
        <x:v>3.155927770020351</x:v>
      </x:c>
      <x:c r="L35" s="20" t="n">
        <x:v>1057</x:v>
      </x:c>
      <x:c r="M35" s="20" t="n">
        <x:v>2208595</x:v>
      </x:c>
      <x:c r="N35" s="20" t="n">
        <x:v>1693232</x:v>
      </x:c>
      <x:c r="O35" s="20" t="n">
        <x:v>305243</x:v>
      </x:c>
      <x:c r="P35" s="20" t="n">
        <x:v>114149</x:v>
      </x:c>
      <x:c r="Q35" s="20" t="n">
        <x:v>30727</x:v>
      </x:c>
      <x:c r="R35" s="20" t="n">
        <x:v>62</x:v>
      </x:c>
      <x:c r="S35" s="17" t="str">
        <x:v>https://chistoufa.ru/generalnaya-uborka/</x:v>
      </x:c>
    </x:row>
    <x:row r="36" ht="56" customHeight="1">
      <x:c r="A36" s="3" t="str">
        <x:v>После</x:v>
      </x:c>
      <x:c r="B36" s="3" t="str">
        <x:v>Генеральная уборка</x:v>
      </x:c>
      <x:c r="C36" s="3" t="str">
        <x:v>Компьютер</x:v>
      </x:c>
      <x:c r="D36" s="21" t="n">
        <x:v>3</x:v>
      </x:c>
      <x:c r="E36" s="25" t="n">
        <x:v>46302.76013021991</x:v>
      </x:c>
      <x:c r="F36" s="21" t="n">
        <x:v>70</x:v>
      </x:c>
      <x:c r="G36" s="29" t="n">
        <x:v>2.2797315000000005</x:v>
      </x:c>
      <x:c r="H36" s="29" t="n">
        <x:v>2.5917877500000004</x:v>
      </x:c>
      <x:c r="I36" s="21" t="n">
        <x:v>0</x:v>
      </x:c>
      <x:c r="J36" s="33" t="n">
        <x:v>0.00007612675167276858</x:v>
      </x:c>
      <x:c r="K36" s="29" t="n">
        <x:v>3.115103424918794</x:v>
      </x:c>
      <x:c r="L36" s="21" t="n">
        <x:v>1084</x:v>
      </x:c>
      <x:c r="M36" s="21" t="n">
        <x:v>2208588</x:v>
      </x:c>
      <x:c r="N36" s="21" t="n">
        <x:v>1693236</x:v>
      </x:c>
      <x:c r="O36" s="21" t="n">
        <x:v>305227</x:v>
      </x:c>
      <x:c r="P36" s="21" t="n">
        <x:v>114149</x:v>
      </x:c>
      <x:c r="Q36" s="21" t="n">
        <x:v>30727</x:v>
      </x:c>
      <x:c r="R36" s="21" t="n">
        <x:v>62</x:v>
      </x:c>
      <x:c r="S36" s="3" t="str">
        <x:v>https://chistoufa.ru/generalnaya-uborka/</x:v>
      </x:c>
    </x:row>
    <x:row r="37" ht="56" customHeight="1">
      <x:c r="A37" s="17" t="str">
        <x:v>После</x:v>
      </x:c>
      <x:c r="B37" s="17" t="str">
        <x:v>Уборка после ремонта</x:v>
      </x:c>
      <x:c r="C37" s="17" t="str">
        <x:v>Телефон</x:v>
      </x:c>
      <x:c r="D37" s="20" t="n">
        <x:v>1</x:v>
      </x:c>
      <x:c r="E37" s="24" t="n">
        <x:v>46302.775035833336</x:v>
      </x:c>
      <x:c r="F37" s="20" t="n">
        <x:v>79</x:v>
      </x:c>
      <x:c r="G37" s="28" t="n">
        <x:v>3.47327436</x:v>
      </x:c>
      <x:c r="H37" s="28" t="n">
        <x:v>3.47327436</x:v>
      </x:c>
      <x:c r="I37" s="20" t="n">
        <x:v>19</x:v>
      </x:c>
      <x:c r="J37" s="32" t="n">
        <x:v>0.0124422153797798</x:v>
      </x:c>
      <x:c r="K37" s="28" t="n">
        <x:v>6.302514469780199</x:v>
      </x:c>
      <x:c r="L37" s="20" t="n">
        <x:v>790</x:v>
      </x:c>
      <x:c r="M37" s="20" t="n">
        <x:v>1180900</x:v>
      </x:c>
      <x:c r="N37" s="20" t="n">
        <x:v>667606</x:v>
      </x:c>
      <x:c r="O37" s="20" t="n">
        <x:v>305224</x:v>
      </x:c>
      <x:c r="P37" s="20" t="n">
        <x:v>114149</x:v>
      </x:c>
      <x:c r="Q37" s="20" t="n">
        <x:v>30662</x:v>
      </x:c>
      <x:c r="R37" s="20" t="n">
        <x:v>47</x:v>
      </x:c>
      <x:c r="S37" s="17" t="str">
        <x:v>https://chistoufa.ru/stati/uborka-posle-remonta-kommercheskikh-pomeshcheniy/</x:v>
      </x:c>
    </x:row>
    <x:row r="38" ht="56" customHeight="1">
      <x:c r="A38" s="3" t="str">
        <x:v>После</x:v>
      </x:c>
      <x:c r="B38" s="3" t="str">
        <x:v>Уборка после ремонта</x:v>
      </x:c>
      <x:c r="C38" s="3" t="str">
        <x:v>Телефон</x:v>
      </x:c>
      <x:c r="D38" s="21" t="n">
        <x:v>2</x:v>
      </x:c>
      <x:c r="E38" s="25" t="n">
        <x:v>46302.77526900463</x:v>
      </x:c>
      <x:c r="F38" s="21" t="n">
        <x:v>78</x:v>
      </x:c>
      <x:c r="G38" s="29" t="n">
        <x:v>3.6232678999999997</x:v>
      </x:c>
      <x:c r="H38" s="29" t="n">
        <x:v>3.6232678999999997</x:v>
      </x:c>
      <x:c r="I38" s="21" t="n">
        <x:v>15.5</x:v>
      </x:c>
      <x:c r="J38" s="33" t="n">
        <x:v>0</x:v>
      </x:c>
      <x:c r="K38" s="29" t="n">
        <x:v>5.942693652394112</x:v>
      </x:c>
      <x:c r="L38" s="21" t="n">
        <x:v>533</x:v>
      </x:c>
      <x:c r="M38" s="21" t="n">
        <x:v>1181062</x:v>
      </x:c>
      <x:c r="N38" s="21" t="n">
        <x:v>667604</x:v>
      </x:c>
      <x:c r="O38" s="21" t="n">
        <x:v>305256</x:v>
      </x:c>
      <x:c r="P38" s="21" t="n">
        <x:v>114149</x:v>
      </x:c>
      <x:c r="Q38" s="21" t="n">
        <x:v>30662</x:v>
      </x:c>
      <x:c r="R38" s="21" t="n">
        <x:v>47</x:v>
      </x:c>
      <x:c r="S38" s="3" t="str">
        <x:v>https://chistoufa.ru/stati/uborka-posle-remonta-kommercheskikh-pomeshcheniy/</x:v>
      </x:c>
    </x:row>
    <x:row r="39" ht="56" customHeight="1">
      <x:c r="A39" s="17" t="str">
        <x:v>После</x:v>
      </x:c>
      <x:c r="B39" s="17" t="str">
        <x:v>Уборка после ремонта</x:v>
      </x:c>
      <x:c r="C39" s="17" t="str">
        <x:v>Телефон</x:v>
      </x:c>
      <x:c r="D39" s="20" t="n">
        <x:v>3</x:v>
      </x:c>
      <x:c r="E39" s="24" t="n">
        <x:v>46302.77549645834</x:v>
      </x:c>
      <x:c r="F39" s="20" t="n">
        <x:v>76</x:v>
      </x:c>
      <x:c r="G39" s="28" t="n">
        <x:v>3.7309517000000003</x:v>
      </x:c>
      <x:c r="H39" s="28" t="n">
        <x:v>3.7309517000000003</x:v>
      </x:c>
      <x:c r="I39" s="20" t="n">
        <x:v>15</x:v>
      </x:c>
      <x:c r="J39" s="32" t="n">
        <x:v>0.0124422153797798</x:v>
      </x:c>
      <x:c r="K39" s="28" t="n">
        <x:v>6.255705223859921</x:v>
      </x:c>
      <x:c r="L39" s="20" t="n">
        <x:v>592</x:v>
      </x:c>
      <x:c r="M39" s="20" t="n">
        <x:v>1180698</x:v>
      </x:c>
      <x:c r="N39" s="20" t="n">
        <x:v>667661</x:v>
      </x:c>
      <x:c r="O39" s="20" t="n">
        <x:v>305226</x:v>
      </x:c>
      <x:c r="P39" s="20" t="n">
        <x:v>114149</x:v>
      </x:c>
      <x:c r="Q39" s="20" t="n">
        <x:v>30662</x:v>
      </x:c>
      <x:c r="R39" s="20" t="n">
        <x:v>47</x:v>
      </x:c>
      <x:c r="S39" s="17" t="str">
        <x:v>https://chistoufa.ru/stati/uborka-posle-remonta-kommercheskikh-pomeshcheniy/</x:v>
      </x:c>
    </x:row>
    <x:row r="40" ht="56" customHeight="1">
      <x:c r="A40" s="3" t="str">
        <x:v>После</x:v>
      </x:c>
      <x:c r="B40" s="3" t="str">
        <x:v>Уборка после ремонта</x:v>
      </x:c>
      <x:c r="C40" s="3" t="str">
        <x:v>Компьютер</x:v>
      </x:c>
      <x:c r="D40" s="21" t="n">
        <x:v>1</x:v>
      </x:c>
      <x:c r="E40" s="25" t="n">
        <x:v>46302.77572626157</x:v>
      </x:c>
      <x:c r="F40" s="21" t="n">
        <x:v>67</x:v>
      </x:c>
      <x:c r="G40" s="29" t="n">
        <x:v>2.2762818000000005</x:v>
      </x:c>
      <x:c r="H40" s="29" t="n">
        <x:v>3.2362732000000016</x:v>
      </x:c>
      <x:c r="I40" s="21" t="n">
        <x:v>0</x:v>
      </x:c>
      <x:c r="J40" s="33" t="n">
        <x:v>0.000057698913890508</x:v>
      </x:c>
      <x:c r="K40" s="29" t="n">
        <x:v>3.0997566965722965</x:v>
      </x:c>
      <x:c r="L40" s="21" t="n">
        <x:v>800</x:v>
      </x:c>
      <x:c r="M40" s="21" t="n">
        <x:v>1734962</x:v>
      </x:c>
      <x:c r="N40" s="21" t="n">
        <x:v>1221578</x:v>
      </x:c>
      <x:c r="O40" s="21" t="n">
        <x:v>305208</x:v>
      </x:c>
      <x:c r="P40" s="21" t="n">
        <x:v>114149</x:v>
      </x:c>
      <x:c r="Q40" s="21" t="n">
        <x:v>30662</x:v>
      </x:c>
      <x:c r="R40" s="21" t="n">
        <x:v>48</x:v>
      </x:c>
      <x:c r="S40" s="3" t="str">
        <x:v>https://chistoufa.ru/stati/uborka-posle-remonta-kommercheskikh-pomeshcheniy/</x:v>
      </x:c>
    </x:row>
    <x:row r="41" ht="56" customHeight="1">
      <x:c r="A41" s="17" t="str">
        <x:v>После</x:v>
      </x:c>
      <x:c r="B41" s="17" t="str">
        <x:v>Уборка после ремонта</x:v>
      </x:c>
      <x:c r="C41" s="17" t="str">
        <x:v>Компьютер</x:v>
      </x:c>
      <x:c r="D41" s="20" t="n">
        <x:v>2</x:v>
      </x:c>
      <x:c r="E41" s="24" t="n">
        <x:v>46302.77595517361</x:v>
      </x:c>
      <x:c r="F41" s="20" t="n">
        <x:v>66</x:v>
      </x:c>
      <x:c r="G41" s="28" t="n">
        <x:v>2.3381306</x:v>
      </x:c>
      <x:c r="H41" s="28" t="n">
        <x:v>3.3201099000000003</x:v>
      </x:c>
      <x:c r="I41" s="20" t="n">
        <x:v>0</x:v>
      </x:c>
      <x:c r="J41" s="32" t="n">
        <x:v>0.000057698913890508</x:v>
      </x:c>
      <x:c r="K41" s="28" t="n">
        <x:v>3.194145303969757</x:v>
      </x:c>
      <x:c r="L41" s="20" t="n">
        <x:v>828</x:v>
      </x:c>
      <x:c r="M41" s="20" t="n">
        <x:v>1734891</x:v>
      </x:c>
      <x:c r="N41" s="20" t="n">
        <x:v>1221755</x:v>
      </x:c>
      <x:c r="O41" s="20" t="n">
        <x:v>305282</x:v>
      </x:c>
      <x:c r="P41" s="20" t="n">
        <x:v>114149</x:v>
      </x:c>
      <x:c r="Q41" s="20" t="n">
        <x:v>30662</x:v>
      </x:c>
      <x:c r="R41" s="20" t="n">
        <x:v>48</x:v>
      </x:c>
      <x:c r="S41" s="17" t="str">
        <x:v>https://chistoufa.ru/stati/uborka-posle-remonta-kommercheskikh-pomeshcheniy/</x:v>
      </x:c>
    </x:row>
    <x:row r="42" ht="56" customHeight="1">
      <x:c r="A42" s="3" t="str">
        <x:v>После</x:v>
      </x:c>
      <x:c r="B42" s="3" t="str">
        <x:v>Уборка после ремонта</x:v>
      </x:c>
      <x:c r="C42" s="3" t="str">
        <x:v>Компьютер</x:v>
      </x:c>
      <x:c r="D42" s="21" t="n">
        <x:v>3</x:v>
      </x:c>
      <x:c r="E42" s="25" t="n">
        <x:v>46302.77618642361</x:v>
      </x:c>
      <x:c r="F42" s="21" t="n">
        <x:v>66</x:v>
      </x:c>
      <x:c r="G42" s="29" t="n">
        <x:v>2.3236471999999995</x:v>
      </x:c>
      <x:c r="H42" s="29" t="n">
        <x:v>3.3002102999999994</x:v>
      </x:c>
      <x:c r="I42" s="21" t="n">
        <x:v>0</x:v>
      </x:c>
      <x:c r="J42" s="33" t="n">
        <x:v>0.000057698913890508</x:v>
      </x:c>
      <x:c r="K42" s="29" t="n">
        <x:v>3.1226444310321777</x:v>
      </x:c>
      <x:c r="L42" s="21" t="n">
        <x:v>795</x:v>
      </x:c>
      <x:c r="M42" s="21" t="n">
        <x:v>1734915</x:v>
      </x:c>
      <x:c r="N42" s="21" t="n">
        <x:v>1221580</x:v>
      </x:c>
      <x:c r="O42" s="21" t="n">
        <x:v>305292</x:v>
      </x:c>
      <x:c r="P42" s="21" t="n">
        <x:v>114149</x:v>
      </x:c>
      <x:c r="Q42" s="21" t="n">
        <x:v>30662</x:v>
      </x:c>
      <x:c r="R42" s="21" t="n">
        <x:v>48</x:v>
      </x:c>
      <x:c r="S42" s="3" t="str">
        <x:v>https://chistoufa.ru/stati/uborka-posle-remonta-kommercheskikh-pomeshcheniy/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17" hidden="0" customWidth="1"/>
    <x:col min="4" max="4" width="28" hidden="0" customWidth="1"/>
    <x:col min="5" max="5" width="15" hidden="0" customWidth="1"/>
    <x:col min="6" max="6" width="22" hidden="0" customWidth="1"/>
    <x:col min="7" max="7" width="20" hidden="0" customWidth="1"/>
    <x:col min="8" max="8" width="20" hidden="0" customWidth="1"/>
    <x:col min="9" max="9" width="23" hidden="0" customWidth="1"/>
    <x:col min="10" max="10" width="22" hidden="0" customWidth="1"/>
    <x:col min="11" max="11" width="22" hidden="0" customWidth="1"/>
    <x:col min="12" max="12" width="23" hidden="0" customWidth="1"/>
    <x:col min="13" max="13" width="22" hidden="0" customWidth="1"/>
    <x:col min="14" max="14" width="22" hidden="0" customWidth="1"/>
    <x:col min="15" max="15" width="22" hidden="0" customWidth="1"/>
    <x:col min="16" max="16" width="42" hidden="0" customWidth="1"/>
  </x:cols>
  <x:sheetData>
    <x:row r="1" ht="31" customHeight="1">
      <x:c r="A1" s="5" t="str">
        <x:v>Сетевые сценарии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Байты накоплены с открытия страницы. Добавка относится к текущему этапу.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4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44" customHeight="1">
      <x:c r="A6" s="14" t="str">
        <x:v>Серия</x:v>
      </x:c>
      <x:c r="B6" s="15" t="str">
        <x:v>Страница</x:v>
      </x:c>
      <x:c r="C6" s="15" t="str">
        <x:v>Устройство</x:v>
      </x:c>
      <x:c r="D6" s="15" t="str">
        <x:v>Этап</x:v>
      </x:c>
      <x:c r="E6" s="15" t="str">
        <x:v>Все запросы</x:v>
      </x:c>
      <x:c r="F6" s="15" t="str">
        <x:v>Завершённые, байт</x:v>
      </x:c>
      <x:c r="G6" s="15" t="str">
        <x:v>В процессе, байт</x:v>
      </x:c>
      <x:c r="H6" s="15" t="str">
        <x:v>С ошибкой, байт</x:v>
      </x:c>
      <x:c r="I6" s="15" t="str">
        <x:v>Наблюдаемые, байт</x:v>
      </x:c>
      <x:c r="J6" s="15" t="str">
        <x:v>Добавка этапа, байт</x:v>
      </x:c>
      <x:c r="K6" s="15" t="str">
        <x:v>Изображения /upload, байт</x:v>
      </x:c>
      <x:c r="L6" s="15" t="str">
        <x:v>Другие изображения, байт</x:v>
      </x:c>
      <x:c r="M6" s="15" t="str">
        <x:v>Яндекс.Карты, байт</x:v>
      </x:c>
      <x:c r="N6" s="15" t="str">
        <x:v>VK и видеосервисы, байт</x:v>
      </x:c>
      <x:c r="O6" s="15" t="str">
        <x:v>Аналитика, байт</x:v>
      </x:c>
      <x:c r="P6" s="16" t="str">
        <x:v>Результат действия</x:v>
      </x:c>
    </x:row>
    <x:row r="7" ht="55" customHeight="1">
      <x:c r="A7" s="34" t="str">
        <x:v>До</x:v>
      </x:c>
      <x:c r="B7" s="34" t="str">
        <x:v>Главная</x:v>
      </x:c>
      <x:c r="C7" s="34" t="str">
        <x:v>Телефон</x:v>
      </x:c>
      <x:c r="D7" s="34" t="str">
        <x:v>Начальная загрузка</x:v>
      </x:c>
      <x:c r="E7" s="35" t="n">
        <x:v>186</x:v>
      </x:c>
      <x:c r="F7" s="35" t="n">
        <x:v>14230585</x:v>
      </x:c>
      <x:c r="G7" s="35" t="n">
        <x:v>0</x:v>
      </x:c>
      <x:c r="H7" s="35" t="n">
        <x:v>0</x:v>
      </x:c>
      <x:c r="I7" s="35" t="n">
        <x:v>14230585</x:v>
      </x:c>
      <x:c r="J7" s="35" t="n">
        <x:v>14230585</x:v>
      </x:c>
      <x:c r="K7" s="35" t="n">
        <x:v>9591038</x:v>
      </x:c>
      <x:c r="L7" s="35" t="n">
        <x:v>850065</x:v>
      </x:c>
      <x:c r="M7" s="35" t="n">
        <x:v>882773</x:v>
      </x:c>
      <x:c r="N7" s="35" t="n">
        <x:v>2245585</x:v>
      </x:c>
      <x:c r="O7" s="35" t="n">
        <x:v>98651</x:v>
      </x:c>
      <x:c r="P7" s="34" t="str">
        <x:v>Начальная загрузка</x:v>
      </x:c>
    </x:row>
    <x:row r="8" ht="55" customHeight="1">
      <x:c r="A8" s="3" t="str">
        <x:v>До</x:v>
      </x:c>
      <x:c r="B8" s="3" t="str">
        <x:v>Главная</x:v>
      </x:c>
      <x:c r="C8" s="3" t="str">
        <x:v>Телефон</x:v>
      </x:c>
      <x:c r="D8" s="3" t="str">
        <x:v>После прокрутки</x:v>
      </x:c>
      <x:c r="E8" s="21" t="n">
        <x:v>197</x:v>
      </x:c>
      <x:c r="F8" s="21" t="n">
        <x:v>14232470</x:v>
      </x:c>
      <x:c r="G8" s="21" t="n">
        <x:v>0</x:v>
      </x:c>
      <x:c r="H8" s="21" t="n">
        <x:v>0</x:v>
      </x:c>
      <x:c r="I8" s="21" t="n">
        <x:v>14232470</x:v>
      </x:c>
      <x:c r="J8" s="21" t="n">
        <x:v>1885</x:v>
      </x:c>
      <x:c r="K8" s="21" t="n">
        <x:v>9591038</x:v>
      </x:c>
      <x:c r="L8" s="21" t="n">
        <x:v>850065</x:v>
      </x:c>
      <x:c r="M8" s="21" t="n">
        <x:v>882773</x:v>
      </x:c>
      <x:c r="N8" s="21" t="n">
        <x:v>2246233</x:v>
      </x:c>
      <x:c r="O8" s="21" t="n">
        <x:v>99166</x:v>
      </x:c>
      <x:c r="P8" s="3" t="str">
        <x:v>Страница прокручена до конца</x:v>
      </x:c>
    </x:row>
    <x:row r="9" ht="55" customHeight="1">
      <x:c r="A9" s="17" t="str">
        <x:v>До</x:v>
      </x:c>
      <x:c r="B9" s="17" t="str">
        <x:v>Главная</x:v>
      </x:c>
      <x:c r="C9" s="17" t="str">
        <x:v>Телефон</x:v>
      </x:c>
      <x:c r="D9" s="17" t="str">
        <x:v>После запуска видео</x:v>
      </x:c>
      <x:c r="E9" s="20" t="n">
        <x:v>204</x:v>
      </x:c>
      <x:c r="F9" s="20" t="n">
        <x:v>14233019</x:v>
      </x:c>
      <x:c r="G9" s="20" t="n">
        <x:v>0</x:v>
      </x:c>
      <x:c r="H9" s="20" t="n">
        <x:v>0</x:v>
      </x:c>
      <x:c r="I9" s="20" t="n">
        <x:v>14233019</x:v>
      </x:c>
      <x:c r="J9" s="20" t="n">
        <x:v>549</x:v>
      </x:c>
      <x:c r="K9" s="20" t="n">
        <x:v>9591038</x:v>
      </x:c>
      <x:c r="L9" s="20" t="n">
        <x:v>850065</x:v>
      </x:c>
      <x:c r="M9" s="20" t="n">
        <x:v>883322</x:v>
      </x:c>
      <x:c r="N9" s="20" t="n">
        <x:v>2246233</x:v>
      </x:c>
      <x:c r="O9" s="20" t="n">
        <x:v>99166</x:v>
      </x:c>
      <x:c r="P9" s="17" t="str">
        <x:v>Плеер загружен; воспроизведение не подтверждено</x:v>
      </x:c>
    </x:row>
    <x:row r="10" ht="55" customHeight="1">
      <x:c r="A10" s="36" t="str">
        <x:v>До</x:v>
      </x:c>
      <x:c r="B10" s="36" t="str">
        <x:v>Главная</x:v>
      </x:c>
      <x:c r="C10" s="36" t="str">
        <x:v>Компьютер</x:v>
      </x:c>
      <x:c r="D10" s="36" t="str">
        <x:v>Начальная загрузка</x:v>
      </x:c>
      <x:c r="E10" s="37" t="n">
        <x:v>163</x:v>
      </x:c>
      <x:c r="F10" s="37" t="n">
        <x:v>13271712</x:v>
      </x:c>
      <x:c r="G10" s="37" t="n">
        <x:v>0</x:v>
      </x:c>
      <x:c r="H10" s="37" t="n">
        <x:v>0</x:v>
      </x:c>
      <x:c r="I10" s="37" t="n">
        <x:v>13271712</x:v>
      </x:c>
      <x:c r="J10" s="37" t="n">
        <x:v>13271712</x:v>
      </x:c>
      <x:c r="K10" s="37" t="n">
        <x:v>9591038</x:v>
      </x:c>
      <x:c r="L10" s="37" t="n">
        <x:v>848230</x:v>
      </x:c>
      <x:c r="M10" s="37" t="n">
        <x:v>746347</x:v>
      </x:c>
      <x:c r="N10" s="37" t="n">
        <x:v>1241369</x:v>
      </x:c>
      <x:c r="O10" s="37" t="n">
        <x:v>98021</x:v>
      </x:c>
      <x:c r="P10" s="36" t="str">
        <x:v>Начальная загрузка</x:v>
      </x:c>
    </x:row>
    <x:row r="11" ht="55" customHeight="1">
      <x:c r="A11" s="17" t="str">
        <x:v>До</x:v>
      </x:c>
      <x:c r="B11" s="17" t="str">
        <x:v>Главная</x:v>
      </x:c>
      <x:c r="C11" s="17" t="str">
        <x:v>Компьютер</x:v>
      </x:c>
      <x:c r="D11" s="17" t="str">
        <x:v>После прокрутки</x:v>
      </x:c>
      <x:c r="E11" s="20" t="n">
        <x:v>173</x:v>
      </x:c>
      <x:c r="F11" s="20" t="n">
        <x:v>13520687</x:v>
      </x:c>
      <x:c r="G11" s="20" t="n">
        <x:v>0</x:v>
      </x:c>
      <x:c r="H11" s="20" t="n">
        <x:v>0</x:v>
      </x:c>
      <x:c r="I11" s="20" t="n">
        <x:v>13520687</x:v>
      </x:c>
      <x:c r="J11" s="20" t="n">
        <x:v>248975</x:v>
      </x:c>
      <x:c r="K11" s="20" t="n">
        <x:v>9591038</x:v>
      </x:c>
      <x:c r="L11" s="20" t="n">
        <x:v>848230</x:v>
      </x:c>
      <x:c r="M11" s="20" t="n">
        <x:v>988045</x:v>
      </x:c>
      <x:c r="N11" s="20" t="n">
        <x:v>1241369</x:v>
      </x:c>
      <x:c r="O11" s="20" t="n">
        <x:v>99270</x:v>
      </x:c>
      <x:c r="P11" s="17" t="str">
        <x:v>Страница прокручена до конца</x:v>
      </x:c>
    </x:row>
    <x:row r="12" ht="55" customHeight="1">
      <x:c r="A12" s="3" t="str">
        <x:v>До</x:v>
      </x:c>
      <x:c r="B12" s="3" t="str">
        <x:v>Главная</x:v>
      </x:c>
      <x:c r="C12" s="3" t="str">
        <x:v>Компьютер</x:v>
      </x:c>
      <x:c r="D12" s="3" t="str">
        <x:v>После запуска видео</x:v>
      </x:c>
      <x:c r="E12" s="21" t="n">
        <x:v>177</x:v>
      </x:c>
      <x:c r="F12" s="21" t="n">
        <x:v>13523240</x:v>
      </x:c>
      <x:c r="G12" s="21" t="n">
        <x:v>0</x:v>
      </x:c>
      <x:c r="H12" s="21" t="n">
        <x:v>0</x:v>
      </x:c>
      <x:c r="I12" s="21" t="n">
        <x:v>13523240</x:v>
      </x:c>
      <x:c r="J12" s="21" t="n">
        <x:v>2553</x:v>
      </x:c>
      <x:c r="K12" s="21" t="n">
        <x:v>9591038</x:v>
      </x:c>
      <x:c r="L12" s="21" t="n">
        <x:v>850070</x:v>
      </x:c>
      <x:c r="M12" s="21" t="n">
        <x:v>988758</x:v>
      </x:c>
      <x:c r="N12" s="21" t="n">
        <x:v>1241369</x:v>
      </x:c>
      <x:c r="O12" s="21" t="n">
        <x:v>99270</x:v>
      </x:c>
      <x:c r="P12" s="3" t="str">
        <x:v>Плеер загружен; воспроизведение не подтверждено</x:v>
      </x:c>
    </x:row>
    <x:row r="13" ht="55" customHeight="1">
      <x:c r="A13" s="34" t="str">
        <x:v>До</x:v>
      </x:c>
      <x:c r="B13" s="34" t="str">
        <x:v>Генеральная уборка</x:v>
      </x:c>
      <x:c r="C13" s="34" t="str">
        <x:v>Телефон</x:v>
      </x:c>
      <x:c r="D13" s="34" t="str">
        <x:v>Начальная загрузка</x:v>
      </x:c>
      <x:c r="E13" s="35" t="n">
        <x:v>215</x:v>
      </x:c>
      <x:c r="F13" s="35" t="n">
        <x:v>10166594</x:v>
      </x:c>
      <x:c r="G13" s="35" t="n">
        <x:v>0</x:v>
      </x:c>
      <x:c r="H13" s="35" t="n">
        <x:v>299849</x:v>
      </x:c>
      <x:c r="I13" s="35" t="n">
        <x:v>10466443</x:v>
      </x:c>
      <x:c r="J13" s="35" t="n">
        <x:v>10466443</x:v>
      </x:c>
      <x:c r="K13" s="35" t="n">
        <x:v>1051309</x:v>
      </x:c>
      <x:c r="L13" s="35" t="n">
        <x:v>852935</x:v>
      </x:c>
      <x:c r="M13" s="35" t="n">
        <x:v>882945</x:v>
      </x:c>
      <x:c r="N13" s="35" t="n">
        <x:v>7146491</x:v>
      </x:c>
      <x:c r="O13" s="35" t="n">
        <x:v>96894</x:v>
      </x:c>
      <x:c r="P13" s="34" t="str">
        <x:v>Начальная загрузка</x:v>
      </x:c>
    </x:row>
    <x:row r="14" ht="55" customHeight="1">
      <x:c r="A14" s="3" t="str">
        <x:v>До</x:v>
      </x:c>
      <x:c r="B14" s="3" t="str">
        <x:v>Генеральная уборка</x:v>
      </x:c>
      <x:c r="C14" s="3" t="str">
        <x:v>Телефон</x:v>
      </x:c>
      <x:c r="D14" s="3" t="str">
        <x:v>После прокрутки</x:v>
      </x:c>
      <x:c r="E14" s="21" t="n">
        <x:v>233</x:v>
      </x:c>
      <x:c r="F14" s="21" t="n">
        <x:v>10407468</x:v>
      </x:c>
      <x:c r="G14" s="21" t="n">
        <x:v>0</x:v>
      </x:c>
      <x:c r="H14" s="21" t="n">
        <x:v>299849</x:v>
      </x:c>
      <x:c r="I14" s="21" t="n">
        <x:v>10707317</x:v>
      </x:c>
      <x:c r="J14" s="21" t="n">
        <x:v>240874</x:v>
      </x:c>
      <x:c r="K14" s="21" t="n">
        <x:v>1051309</x:v>
      </x:c>
      <x:c r="L14" s="21" t="n">
        <x:v>852935</x:v>
      </x:c>
      <x:c r="M14" s="21" t="n">
        <x:v>883494</x:v>
      </x:c>
      <x:c r="N14" s="21" t="n">
        <x:v>7385960</x:v>
      </x:c>
      <x:c r="O14" s="21" t="n">
        <x:v>97027</x:v>
      </x:c>
      <x:c r="P14" s="3" t="str">
        <x:v>Страница прокручена до конца</x:v>
      </x:c>
    </x:row>
    <x:row r="15" ht="55" customHeight="1">
      <x:c r="A15" s="17" t="str">
        <x:v>До</x:v>
      </x:c>
      <x:c r="B15" s="17" t="str">
        <x:v>Генеральная уборка</x:v>
      </x:c>
      <x:c r="C15" s="17" t="str">
        <x:v>Телефон</x:v>
      </x:c>
      <x:c r="D15" s="17" t="str">
        <x:v>После открытия фото</x:v>
      </x:c>
      <x:c r="E15" s="20" t="n">
        <x:v>233</x:v>
      </x:c>
      <x:c r="F15" s="20" t="n">
        <x:v>10407468</x:v>
      </x:c>
      <x:c r="G15" s="20" t="n">
        <x:v>0</x:v>
      </x:c>
      <x:c r="H15" s="20" t="n">
        <x:v>299849</x:v>
      </x:c>
      <x:c r="I15" s="20" t="n">
        <x:v>10707317</x:v>
      </x:c>
      <x:c r="J15" s="20" t="n">
        <x:v>0</x:v>
      </x:c>
      <x:c r="K15" s="20" t="n">
        <x:v>1051309</x:v>
      </x:c>
      <x:c r="L15" s="20" t="n">
        <x:v>852935</x:v>
      </x:c>
      <x:c r="M15" s="20" t="n">
        <x:v>883494</x:v>
      </x:c>
      <x:c r="N15" s="20" t="n">
        <x:v>7385960</x:v>
      </x:c>
      <x:c r="O15" s="20" t="n">
        <x:v>97027</x:v>
      </x:c>
      <x:c r="P15" s="17" t="str">
        <x:v>На странице нет галереи для этого сценария</x:v>
      </x:c>
    </x:row>
    <x:row r="16" ht="55" customHeight="1">
      <x:c r="A16" s="36" t="str">
        <x:v>До</x:v>
      </x:c>
      <x:c r="B16" s="36" t="str">
        <x:v>Генеральная уборка</x:v>
      </x:c>
      <x:c r="C16" s="36" t="str">
        <x:v>Компьютер</x:v>
      </x:c>
      <x:c r="D16" s="36" t="str">
        <x:v>Начальная загрузка</x:v>
      </x:c>
      <x:c r="E16" s="37" t="n">
        <x:v>232</x:v>
      </x:c>
      <x:c r="F16" s="37" t="n">
        <x:v>13845319</x:v>
      </x:c>
      <x:c r="G16" s="37" t="n">
        <x:v>0</x:v>
      </x:c>
      <x:c r="H16" s="37" t="n">
        <x:v>0</x:v>
      </x:c>
      <x:c r="I16" s="37" t="n">
        <x:v>13845319</x:v>
      </x:c>
      <x:c r="J16" s="37" t="n">
        <x:v>13845319</x:v>
      </x:c>
      <x:c r="K16" s="37" t="n">
        <x:v>1051309</x:v>
      </x:c>
      <x:c r="L16" s="37" t="n">
        <x:v>852935</x:v>
      </x:c>
      <x:c r="M16" s="37" t="n">
        <x:v>987867</x:v>
      </x:c>
      <x:c r="N16" s="37" t="n">
        <x:v>10405113</x:v>
      </x:c>
      <x:c r="O16" s="37" t="n">
        <x:v>98858</x:v>
      </x:c>
      <x:c r="P16" s="36" t="str">
        <x:v>Начальная загрузка</x:v>
      </x:c>
    </x:row>
    <x:row r="17" ht="55" customHeight="1">
      <x:c r="A17" s="17" t="str">
        <x:v>До</x:v>
      </x:c>
      <x:c r="B17" s="17" t="str">
        <x:v>Генеральная уборка</x:v>
      </x:c>
      <x:c r="C17" s="17" t="str">
        <x:v>Компьютер</x:v>
      </x:c>
      <x:c r="D17" s="17" t="str">
        <x:v>После прокрутки</x:v>
      </x:c>
      <x:c r="E17" s="20" t="n">
        <x:v>248</x:v>
      </x:c>
      <x:c r="F17" s="20" t="n">
        <x:v>14132465</x:v>
      </x:c>
      <x:c r="G17" s="20" t="n">
        <x:v>0</x:v>
      </x:c>
      <x:c r="H17" s="20" t="n">
        <x:v>0</x:v>
      </x:c>
      <x:c r="I17" s="20" t="n">
        <x:v>14132465</x:v>
      </x:c>
      <x:c r="J17" s="20" t="n">
        <x:v>287146</x:v>
      </x:c>
      <x:c r="K17" s="20" t="n">
        <x:v>1051309</x:v>
      </x:c>
      <x:c r="L17" s="20" t="n">
        <x:v>852935</x:v>
      </x:c>
      <x:c r="M17" s="20" t="n">
        <x:v>988416</x:v>
      </x:c>
      <x:c r="N17" s="20" t="n">
        <x:v>10690634</x:v>
      </x:c>
      <x:c r="O17" s="20" t="n">
        <x:v>99213</x:v>
      </x:c>
      <x:c r="P17" s="17" t="str">
        <x:v>Страница прокручена до конца</x:v>
      </x:c>
    </x:row>
    <x:row r="18" ht="55" customHeight="1">
      <x:c r="A18" s="3" t="str">
        <x:v>До</x:v>
      </x:c>
      <x:c r="B18" s="3" t="str">
        <x:v>Генеральная уборка</x:v>
      </x:c>
      <x:c r="C18" s="3" t="str">
        <x:v>Компьютер</x:v>
      </x:c>
      <x:c r="D18" s="3" t="str">
        <x:v>После открытия фото</x:v>
      </x:c>
      <x:c r="E18" s="21" t="n">
        <x:v>248</x:v>
      </x:c>
      <x:c r="F18" s="21" t="n">
        <x:v>14132465</x:v>
      </x:c>
      <x:c r="G18" s="21" t="n">
        <x:v>0</x:v>
      </x:c>
      <x:c r="H18" s="21" t="n">
        <x:v>0</x:v>
      </x:c>
      <x:c r="I18" s="21" t="n">
        <x:v>14132465</x:v>
      </x:c>
      <x:c r="J18" s="21" t="n">
        <x:v>0</x:v>
      </x:c>
      <x:c r="K18" s="21" t="n">
        <x:v>1051309</x:v>
      </x:c>
      <x:c r="L18" s="21" t="n">
        <x:v>852935</x:v>
      </x:c>
      <x:c r="M18" s="21" t="n">
        <x:v>988416</x:v>
      </x:c>
      <x:c r="N18" s="21" t="n">
        <x:v>10690634</x:v>
      </x:c>
      <x:c r="O18" s="21" t="n">
        <x:v>99213</x:v>
      </x:c>
      <x:c r="P18" s="3" t="str">
        <x:v>На странице нет галереи для этого сценария</x:v>
      </x:c>
    </x:row>
    <x:row r="19" ht="55" customHeight="1">
      <x:c r="A19" s="34" t="str">
        <x:v>До</x:v>
      </x:c>
      <x:c r="B19" s="34" t="str">
        <x:v>Портфолио</x:v>
      </x:c>
      <x:c r="C19" s="34" t="str">
        <x:v>Телефон</x:v>
      </x:c>
      <x:c r="D19" s="34" t="str">
        <x:v>Начальная загрузка</x:v>
      </x:c>
      <x:c r="E19" s="35" t="n">
        <x:v>79</x:v>
      </x:c>
      <x:c r="F19" s="35" t="n">
        <x:v>4605474</x:v>
      </x:c>
      <x:c r="G19" s="35" t="n">
        <x:v>0</x:v>
      </x:c>
      <x:c r="H19" s="35" t="n">
        <x:v>0</x:v>
      </x:c>
      <x:c r="I19" s="35" t="n">
        <x:v>4605474</x:v>
      </x:c>
      <x:c r="J19" s="35" t="n">
        <x:v>4605474</x:v>
      </x:c>
      <x:c r="K19" s="35" t="n">
        <x:v>2292699</x:v>
      </x:c>
      <x:c r="L19" s="35" t="n">
        <x:v>929098</x:v>
      </x:c>
      <x:c r="M19" s="35" t="n">
        <x:v>878646</x:v>
      </x:c>
      <x:c r="N19" s="35" t="n">
        <x:v>19948</x:v>
      </x:c>
      <x:c r="O19" s="35" t="n">
        <x:v>98473</x:v>
      </x:c>
      <x:c r="P19" s="34" t="str">
        <x:v>Начальная загрузка</x:v>
      </x:c>
    </x:row>
    <x:row r="20" ht="55" customHeight="1">
      <x:c r="A20" s="3" t="str">
        <x:v>До</x:v>
      </x:c>
      <x:c r="B20" s="3" t="str">
        <x:v>Портфолио</x:v>
      </x:c>
      <x:c r="C20" s="3" t="str">
        <x:v>Телефон</x:v>
      </x:c>
      <x:c r="D20" s="3" t="str">
        <x:v>После прокрутки</x:v>
      </x:c>
      <x:c r="E20" s="21" t="n">
        <x:v>82</x:v>
      </x:c>
      <x:c r="F20" s="21" t="n">
        <x:v>4610425</x:v>
      </x:c>
      <x:c r="G20" s="21" t="n">
        <x:v>0</x:v>
      </x:c>
      <x:c r="H20" s="21" t="n">
        <x:v>0</x:v>
      </x:c>
      <x:c r="I20" s="21" t="n">
        <x:v>4610425</x:v>
      </x:c>
      <x:c r="J20" s="21" t="n">
        <x:v>4951</x:v>
      </x:c>
      <x:c r="K20" s="21" t="n">
        <x:v>2292699</x:v>
      </x:c>
      <x:c r="L20" s="21" t="n">
        <x:v>929098</x:v>
      </x:c>
      <x:c r="M20" s="21" t="n">
        <x:v>882410</x:v>
      </x:c>
      <x:c r="N20" s="21" t="n">
        <x:v>19948</x:v>
      </x:c>
      <x:c r="O20" s="21" t="n">
        <x:v>98938</x:v>
      </x:c>
      <x:c r="P20" s="3" t="str">
        <x:v>Страница прокручена до конца</x:v>
      </x:c>
    </x:row>
    <x:row r="21" ht="55" customHeight="1">
      <x:c r="A21" s="17" t="str">
        <x:v>До</x:v>
      </x:c>
      <x:c r="B21" s="17" t="str">
        <x:v>Портфолио</x:v>
      </x:c>
      <x:c r="C21" s="17" t="str">
        <x:v>Телефон</x:v>
      </x:c>
      <x:c r="D21" s="17" t="str">
        <x:v>После открытия фото</x:v>
      </x:c>
      <x:c r="E21" s="20" t="n">
        <x:v>84</x:v>
      </x:c>
      <x:c r="F21" s="20" t="n">
        <x:v>4610832</x:v>
      </x:c>
      <x:c r="G21" s="20" t="n">
        <x:v>0</x:v>
      </x:c>
      <x:c r="H21" s="20" t="n">
        <x:v>0</x:v>
      </x:c>
      <x:c r="I21" s="20" t="n">
        <x:v>4610832</x:v>
      </x:c>
      <x:c r="J21" s="20" t="n">
        <x:v>407</x:v>
      </x:c>
      <x:c r="K21" s="20" t="n">
        <x:v>2292699</x:v>
      </x:c>
      <x:c r="L21" s="20" t="n">
        <x:v>929098</x:v>
      </x:c>
      <x:c r="M21" s="20" t="n">
        <x:v>882410</x:v>
      </x:c>
      <x:c r="N21" s="20" t="n">
        <x:v>19948</x:v>
      </x:c>
      <x:c r="O21" s="20" t="n">
        <x:v>99345</x:v>
      </x:c>
      <x:c r="P21" s="17" t="str">
        <x:v>Оригинал открыт</x:v>
      </x:c>
    </x:row>
    <x:row r="22" ht="55" customHeight="1">
      <x:c r="A22" s="36" t="str">
        <x:v>До</x:v>
      </x:c>
      <x:c r="B22" s="36" t="str">
        <x:v>Портфолио</x:v>
      </x:c>
      <x:c r="C22" s="36" t="str">
        <x:v>Компьютер</x:v>
      </x:c>
      <x:c r="D22" s="36" t="str">
        <x:v>Начальная загрузка</x:v>
      </x:c>
      <x:c r="E22" s="37" t="n">
        <x:v>87</x:v>
      </x:c>
      <x:c r="F22" s="37" t="n">
        <x:v>4729469</x:v>
      </x:c>
      <x:c r="G22" s="37" t="n">
        <x:v>0</x:v>
      </x:c>
      <x:c r="H22" s="37" t="n">
        <x:v>0</x:v>
      </x:c>
      <x:c r="I22" s="37" t="n">
        <x:v>4729469</x:v>
      </x:c>
      <x:c r="J22" s="37" t="n">
        <x:v>4729469</x:v>
      </x:c>
      <x:c r="K22" s="37" t="n">
        <x:v>2292699</x:v>
      </x:c>
      <x:c r="L22" s="37" t="n">
        <x:v>930938</x:v>
      </x:c>
      <x:c r="M22" s="37" t="n">
        <x:v>988765</x:v>
      </x:c>
      <x:c r="N22" s="37" t="n">
        <x:v>19871</x:v>
      </x:c>
      <x:c r="O22" s="37" t="n">
        <x:v>96900</x:v>
      </x:c>
      <x:c r="P22" s="36" t="str">
        <x:v>Начальная загрузка</x:v>
      </x:c>
    </x:row>
    <x:row r="23" ht="55" customHeight="1">
      <x:c r="A23" s="17" t="str">
        <x:v>До</x:v>
      </x:c>
      <x:c r="B23" s="17" t="str">
        <x:v>Портфолио</x:v>
      </x:c>
      <x:c r="C23" s="17" t="str">
        <x:v>Компьютер</x:v>
      </x:c>
      <x:c r="D23" s="17" t="str">
        <x:v>После прокрутки</x:v>
      </x:c>
      <x:c r="E23" s="20" t="n">
        <x:v>90</x:v>
      </x:c>
      <x:c r="F23" s="20" t="n">
        <x:v>4730489</x:v>
      </x:c>
      <x:c r="G23" s="20" t="n">
        <x:v>0</x:v>
      </x:c>
      <x:c r="H23" s="20" t="n">
        <x:v>0</x:v>
      </x:c>
      <x:c r="I23" s="20" t="n">
        <x:v>4730489</x:v>
      </x:c>
      <x:c r="J23" s="20" t="n">
        <x:v>1020</x:v>
      </x:c>
      <x:c r="K23" s="20" t="n">
        <x:v>2292699</x:v>
      </x:c>
      <x:c r="L23" s="20" t="n">
        <x:v>930938</x:v>
      </x:c>
      <x:c r="M23" s="20" t="n">
        <x:v>988929</x:v>
      </x:c>
      <x:c r="N23" s="20" t="n">
        <x:v>19871</x:v>
      </x:c>
      <x:c r="O23" s="20" t="n">
        <x:v>97033</x:v>
      </x:c>
      <x:c r="P23" s="17" t="str">
        <x:v>Страница прокручена до конца</x:v>
      </x:c>
    </x:row>
    <x:row r="24" ht="55" customHeight="1">
      <x:c r="A24" s="3" t="str">
        <x:v>До</x:v>
      </x:c>
      <x:c r="B24" s="3" t="str">
        <x:v>Портфолио</x:v>
      </x:c>
      <x:c r="C24" s="3" t="str">
        <x:v>Компьютер</x:v>
      </x:c>
      <x:c r="D24" s="3" t="str">
        <x:v>После открытия фото</x:v>
      </x:c>
      <x:c r="E24" s="21" t="n">
        <x:v>93</x:v>
      </x:c>
      <x:c r="F24" s="21" t="n">
        <x:v>4731060</x:v>
      </x:c>
      <x:c r="G24" s="21" t="n">
        <x:v>0</x:v>
      </x:c>
      <x:c r="H24" s="21" t="n">
        <x:v>0</x:v>
      </x:c>
      <x:c r="I24" s="21" t="n">
        <x:v>4731060</x:v>
      </x:c>
      <x:c r="J24" s="21" t="n">
        <x:v>571</x:v>
      </x:c>
      <x:c r="K24" s="21" t="n">
        <x:v>2292699</x:v>
      </x:c>
      <x:c r="L24" s="21" t="n">
        <x:v>930938</x:v>
      </x:c>
      <x:c r="M24" s="21" t="n">
        <x:v>989093</x:v>
      </x:c>
      <x:c r="N24" s="21" t="n">
        <x:v>19871</x:v>
      </x:c>
      <x:c r="O24" s="21" t="n">
        <x:v>97440</x:v>
      </x:c>
      <x:c r="P24" s="3" t="str">
        <x:v>Оригинал открыт</x:v>
      </x:c>
    </x:row>
    <x:row r="25" ht="55" customHeight="1">
      <x:c r="A25" s="34" t="str">
        <x:v>После</x:v>
      </x:c>
      <x:c r="B25" s="34" t="str">
        <x:v>Главная</x:v>
      </x:c>
      <x:c r="C25" s="34" t="str">
        <x:v>Телефон</x:v>
      </x:c>
      <x:c r="D25" s="34" t="str">
        <x:v>Начальная загрузка</x:v>
      </x:c>
      <x:c r="E25" s="35" t="n">
        <x:v>66</x:v>
      </x:c>
      <x:c r="F25" s="35" t="n">
        <x:v>870272</x:v>
      </x:c>
      <x:c r="G25" s="35" t="n">
        <x:v>0</x:v>
      </x:c>
      <x:c r="H25" s="35" t="n">
        <x:v>0</x:v>
      </x:c>
      <x:c r="I25" s="35" t="n">
        <x:v>870272</x:v>
      </x:c>
      <x:c r="J25" s="35" t="n">
        <x:v>870272</x:v>
      </x:c>
      <x:c r="K25" s="35" t="n">
        <x:v>222938</x:v>
      </x:c>
      <x:c r="L25" s="35" t="n">
        <x:v>13578</x:v>
      </x:c>
      <x:c r="M25" s="35" t="n">
        <x:v>0</x:v>
      </x:c>
      <x:c r="N25" s="35" t="n">
        <x:v>19864</x:v>
      </x:c>
      <x:c r="O25" s="35" t="n">
        <x:v>98334</x:v>
      </x:c>
      <x:c r="P25" s="34" t="str">
        <x:v>Начальная загрузка</x:v>
      </x:c>
    </x:row>
    <x:row r="26" ht="55" customHeight="1">
      <x:c r="A26" s="3" t="str">
        <x:v>После</x:v>
      </x:c>
      <x:c r="B26" s="3" t="str">
        <x:v>Главная</x:v>
      </x:c>
      <x:c r="C26" s="3" t="str">
        <x:v>Телефон</x:v>
      </x:c>
      <x:c r="D26" s="3" t="str">
        <x:v>После прокрутки</x:v>
      </x:c>
      <x:c r="E26" s="21" t="n">
        <x:v>101</x:v>
      </x:c>
      <x:c r="F26" s="21" t="n">
        <x:v>2022345</x:v>
      </x:c>
      <x:c r="G26" s="21" t="n">
        <x:v>0</x:v>
      </x:c>
      <x:c r="H26" s="21" t="n">
        <x:v>0</x:v>
      </x:c>
      <x:c r="I26" s="21" t="n">
        <x:v>2022345</x:v>
      </x:c>
      <x:c r="J26" s="21" t="n">
        <x:v>1152073</x:v>
      </x:c>
      <x:c r="K26" s="21" t="n">
        <x:v>492628</x:v>
      </x:c>
      <x:c r="L26" s="21" t="n">
        <x:v>13578</x:v>
      </x:c>
      <x:c r="M26" s="21" t="n">
        <x:v>882262</x:v>
      </x:c>
      <x:c r="N26" s="21" t="n">
        <x:v>19864</x:v>
      </x:c>
      <x:c r="O26" s="21" t="n">
        <x:v>98455</x:v>
      </x:c>
      <x:c r="P26" s="3" t="str">
        <x:v>Страница прокручена до конца</x:v>
      </x:c>
    </x:row>
    <x:row r="27" ht="55" customHeight="1">
      <x:c r="A27" s="17" t="str">
        <x:v>После</x:v>
      </x:c>
      <x:c r="B27" s="17" t="str">
        <x:v>Главная</x:v>
      </x:c>
      <x:c r="C27" s="17" t="str">
        <x:v>Телефон</x:v>
      </x:c>
      <x:c r="D27" s="17" t="str">
        <x:v>После запуска видео</x:v>
      </x:c>
      <x:c r="E27" s="20" t="n">
        <x:v>196</x:v>
      </x:c>
      <x:c r="F27" s="20" t="n">
        <x:v>6530666</x:v>
      </x:c>
      <x:c r="G27" s="20" t="n">
        <x:v>518884</x:v>
      </x:c>
      <x:c r="H27" s="20" t="n">
        <x:v>469760</x:v>
      </x:c>
      <x:c r="I27" s="20" t="n">
        <x:v>7519310</x:v>
      </x:c>
      <x:c r="J27" s="20" t="n">
        <x:v>5496965</x:v>
      </x:c>
      <x:c r="K27" s="20" t="n">
        <x:v>492628</x:v>
      </x:c>
      <x:c r="L27" s="20" t="n">
        <x:v>13578</x:v>
      </x:c>
      <x:c r="M27" s="20" t="n">
        <x:v>882810</x:v>
      </x:c>
      <x:c r="N27" s="20" t="n">
        <x:v>5418319</x:v>
      </x:c>
      <x:c r="O27" s="20" t="n">
        <x:v>98455</x:v>
      </x:c>
      <x:c r="P27" s="17" t="str">
        <x:v>Плеер загружен; воспроизведение не подтверждено</x:v>
      </x:c>
    </x:row>
    <x:row r="28" ht="55" customHeight="1">
      <x:c r="A28" s="36" t="str">
        <x:v>После</x:v>
      </x:c>
      <x:c r="B28" s="36" t="str">
        <x:v>Главная</x:v>
      </x:c>
      <x:c r="C28" s="36" t="str">
        <x:v>Компьютер</x:v>
      </x:c>
      <x:c r="D28" s="36" t="str">
        <x:v>Начальная загрузка</x:v>
      </x:c>
      <x:c r="E28" s="37" t="n">
        <x:v>70</x:v>
      </x:c>
      <x:c r="F28" s="37" t="n">
        <x:v>1774481</x:v>
      </x:c>
      <x:c r="G28" s="37" t="n">
        <x:v>0</x:v>
      </x:c>
      <x:c r="H28" s="37" t="n">
        <x:v>0</x:v>
      </x:c>
      <x:c r="I28" s="37" t="n">
        <x:v>1774481</x:v>
      </x:c>
      <x:c r="J28" s="37" t="n">
        <x:v>1774481</x:v>
      </x:c>
      <x:c r="K28" s="37" t="n">
        <x:v>573277</x:v>
      </x:c>
      <x:c r="L28" s="37" t="n">
        <x:v>567689</x:v>
      </x:c>
      <x:c r="M28" s="37" t="n">
        <x:v>0</x:v>
      </x:c>
      <x:c r="N28" s="37" t="n">
        <x:v>19870</x:v>
      </x:c>
      <x:c r="O28" s="37" t="n">
        <x:v>98093</x:v>
      </x:c>
      <x:c r="P28" s="36" t="str">
        <x:v>Начальная загрузка</x:v>
      </x:c>
    </x:row>
    <x:row r="29" ht="55" customHeight="1">
      <x:c r="A29" s="17" t="str">
        <x:v>После</x:v>
      </x:c>
      <x:c r="B29" s="17" t="str">
        <x:v>Главная</x:v>
      </x:c>
      <x:c r="C29" s="17" t="str">
        <x:v>Компьютер</x:v>
      </x:c>
      <x:c r="D29" s="17" t="str">
        <x:v>После прокрутки</x:v>
      </x:c>
      <x:c r="E29" s="20" t="n">
        <x:v>113</x:v>
      </x:c>
      <x:c r="F29" s="20" t="n">
        <x:v>3520972</x:v>
      </x:c>
      <x:c r="G29" s="20" t="n">
        <x:v>0</x:v>
      </x:c>
      <x:c r="H29" s="20" t="n">
        <x:v>0</x:v>
      </x:c>
      <x:c r="I29" s="20" t="n">
        <x:v>3520972</x:v>
      </x:c>
      <x:c r="J29" s="20" t="n">
        <x:v>1746491</x:v>
      </x:c>
      <x:c r="K29" s="20" t="n">
        <x:v>1320210</x:v>
      </x:c>
      <x:c r="L29" s="20" t="n">
        <x:v>567689</x:v>
      </x:c>
      <x:c r="M29" s="20" t="n">
        <x:v>987932</x:v>
      </x:c>
      <x:c r="N29" s="20" t="n">
        <x:v>19870</x:v>
      </x:c>
      <x:c r="O29" s="20" t="n">
        <x:v>98374</x:v>
      </x:c>
      <x:c r="P29" s="17" t="str">
        <x:v>Страница прокручена до конца</x:v>
      </x:c>
    </x:row>
    <x:row r="30" ht="55" customHeight="1">
      <x:c r="A30" s="3" t="str">
        <x:v>После</x:v>
      </x:c>
      <x:c r="B30" s="3" t="str">
        <x:v>Главная</x:v>
      </x:c>
      <x:c r="C30" s="3" t="str">
        <x:v>Компьютер</x:v>
      </x:c>
      <x:c r="D30" s="3" t="str">
        <x:v>После запуска видео</x:v>
      </x:c>
      <x:c r="E30" s="21" t="n">
        <x:v>207</x:v>
      </x:c>
      <x:c r="F30" s="21" t="n">
        <x:v>9300831</x:v>
      </x:c>
      <x:c r="G30" s="21" t="n">
        <x:v>917432</x:v>
      </x:c>
      <x:c r="H30" s="21" t="n">
        <x:v>720801</x:v>
      </x:c>
      <x:c r="I30" s="21" t="n">
        <x:v>10939064</x:v>
      </x:c>
      <x:c r="J30" s="21" t="n">
        <x:v>7418092</x:v>
      </x:c>
      <x:c r="K30" s="21" t="n">
        <x:v>1320210</x:v>
      </x:c>
      <x:c r="L30" s="21" t="n">
        <x:v>567689</x:v>
      </x:c>
      <x:c r="M30" s="21" t="n">
        <x:v>988480</x:v>
      </x:c>
      <x:c r="N30" s="21" t="n">
        <x:v>7339451</x:v>
      </x:c>
      <x:c r="O30" s="21" t="n">
        <x:v>98374</x:v>
      </x:c>
      <x:c r="P30" s="3" t="str">
        <x:v>Плеер загружен; воспроизведение не подтверждено</x:v>
      </x:c>
    </x:row>
    <x:row r="31" ht="55" customHeight="1">
      <x:c r="A31" s="34" t="str">
        <x:v>После</x:v>
      </x:c>
      <x:c r="B31" s="34" t="str">
        <x:v>Генеральная уборка</x:v>
      </x:c>
      <x:c r="C31" s="34" t="str">
        <x:v>Телефон</x:v>
      </x:c>
      <x:c r="D31" s="34" t="str">
        <x:v>Начальная загрузка</x:v>
      </x:c>
      <x:c r="E31" s="35" t="n">
        <x:v>60</x:v>
      </x:c>
      <x:c r="F31" s="35" t="n">
        <x:v>1559792</x:v>
      </x:c>
      <x:c r="G31" s="35" t="n">
        <x:v>0</x:v>
      </x:c>
      <x:c r="H31" s="35" t="n">
        <x:v>0</x:v>
      </x:c>
      <x:c r="I31" s="35" t="n">
        <x:v>1559792</x:v>
      </x:c>
      <x:c r="J31" s="35" t="n">
        <x:v>1559792</x:v>
      </x:c>
      <x:c r="K31" s="35" t="n">
        <x:v>1024977</x:v>
      </x:c>
      <x:c r="L31" s="35" t="n">
        <x:v>16448</x:v>
      </x:c>
      <x:c r="M31" s="35" t="n">
        <x:v>0</x:v>
      </x:c>
      <x:c r="N31" s="35" t="n">
        <x:v>19949</x:v>
      </x:c>
      <x:c r="O31" s="35" t="n">
        <x:v>98004</x:v>
      </x:c>
      <x:c r="P31" s="34" t="str">
        <x:v>Начальная загрузка</x:v>
      </x:c>
    </x:row>
    <x:row r="32" ht="55" customHeight="1">
      <x:c r="A32" s="3" t="str">
        <x:v>После</x:v>
      </x:c>
      <x:c r="B32" s="3" t="str">
        <x:v>Генеральная уборка</x:v>
      </x:c>
      <x:c r="C32" s="3" t="str">
        <x:v>Телефон</x:v>
      </x:c>
      <x:c r="D32" s="3" t="str">
        <x:v>После прокрутки</x:v>
      </x:c>
      <x:c r="E32" s="21" t="n">
        <x:v>83</x:v>
      </x:c>
      <x:c r="F32" s="21" t="n">
        <x:v>2468408</x:v>
      </x:c>
      <x:c r="G32" s="21" t="n">
        <x:v>0</x:v>
      </x:c>
      <x:c r="H32" s="21" t="n">
        <x:v>0</x:v>
      </x:c>
      <x:c r="I32" s="21" t="n">
        <x:v>2468408</x:v>
      </x:c>
      <x:c r="J32" s="21" t="n">
        <x:v>908616</x:v>
      </x:c>
      <x:c r="K32" s="21" t="n">
        <x:v>1050742</x:v>
      </x:c>
      <x:c r="L32" s="21" t="n">
        <x:v>16448</x:v>
      </x:c>
      <x:c r="M32" s="21" t="n">
        <x:v>882424</x:v>
      </x:c>
      <x:c r="N32" s="21" t="n">
        <x:v>19949</x:v>
      </x:c>
      <x:c r="O32" s="21" t="n">
        <x:v>98431</x:v>
      </x:c>
      <x:c r="P32" s="3" t="str">
        <x:v>Страница прокручена до конца</x:v>
      </x:c>
    </x:row>
    <x:row r="33" ht="55" customHeight="1">
      <x:c r="A33" s="17" t="str">
        <x:v>После</x:v>
      </x:c>
      <x:c r="B33" s="17" t="str">
        <x:v>Генеральная уборка</x:v>
      </x:c>
      <x:c r="C33" s="17" t="str">
        <x:v>Телефон</x:v>
      </x:c>
      <x:c r="D33" s="17" t="str">
        <x:v>После открытия фото</x:v>
      </x:c>
      <x:c r="E33" s="20" t="n">
        <x:v>83</x:v>
      </x:c>
      <x:c r="F33" s="20" t="n">
        <x:v>2468408</x:v>
      </x:c>
      <x:c r="G33" s="20" t="n">
        <x:v>0</x:v>
      </x:c>
      <x:c r="H33" s="20" t="n">
        <x:v>0</x:v>
      </x:c>
      <x:c r="I33" s="20" t="n">
        <x:v>2468408</x:v>
      </x:c>
      <x:c r="J33" s="20" t="n">
        <x:v>0</x:v>
      </x:c>
      <x:c r="K33" s="20" t="n">
        <x:v>1050742</x:v>
      </x:c>
      <x:c r="L33" s="20" t="n">
        <x:v>16448</x:v>
      </x:c>
      <x:c r="M33" s="20" t="n">
        <x:v>882424</x:v>
      </x:c>
      <x:c r="N33" s="20" t="n">
        <x:v>19949</x:v>
      </x:c>
      <x:c r="O33" s="20" t="n">
        <x:v>98431</x:v>
      </x:c>
      <x:c r="P33" s="17" t="str">
        <x:v>На странице нет галереи для этого сценария</x:v>
      </x:c>
    </x:row>
    <x:row r="34" ht="55" customHeight="1">
      <x:c r="A34" s="36" t="str">
        <x:v>После</x:v>
      </x:c>
      <x:c r="B34" s="36" t="str">
        <x:v>Генеральная уборка</x:v>
      </x:c>
      <x:c r="C34" s="36" t="str">
        <x:v>Компьютер</x:v>
      </x:c>
      <x:c r="D34" s="36" t="str">
        <x:v>Начальная загрузка</x:v>
      </x:c>
      <x:c r="E34" s="37" t="n">
        <x:v>61</x:v>
      </x:c>
      <x:c r="F34" s="37" t="n">
        <x:v>2131373</x:v>
      </x:c>
      <x:c r="G34" s="37" t="n">
        <x:v>0</x:v>
      </x:c>
      <x:c r="H34" s="37" t="n">
        <x:v>0</x:v>
      </x:c>
      <x:c r="I34" s="37" t="n">
        <x:v>2131373</x:v>
      </x:c>
      <x:c r="J34" s="37" t="n">
        <x:v>2131373</x:v>
      </x:c>
      <x:c r="K34" s="37" t="n">
        <x:v>1042274</x:v>
      </x:c>
      <x:c r="L34" s="37" t="n">
        <x:v>570554</x:v>
      </x:c>
      <x:c r="M34" s="37" t="n">
        <x:v>0</x:v>
      </x:c>
      <x:c r="N34" s="37" t="n">
        <x:v>20018</x:v>
      </x:c>
      <x:c r="O34" s="37" t="n">
        <x:v>98109</x:v>
      </x:c>
      <x:c r="P34" s="36" t="str">
        <x:v>Начальная загрузка</x:v>
      </x:c>
    </x:row>
    <x:row r="35" ht="55" customHeight="1">
      <x:c r="A35" s="17" t="str">
        <x:v>После</x:v>
      </x:c>
      <x:c r="B35" s="17" t="str">
        <x:v>Генеральная уборка</x:v>
      </x:c>
      <x:c r="C35" s="17" t="str">
        <x:v>Компьютер</x:v>
      </x:c>
      <x:c r="D35" s="17" t="str">
        <x:v>После прокрутки</x:v>
      </x:c>
      <x:c r="E35" s="20" t="n">
        <x:v>93</x:v>
      </x:c>
      <x:c r="F35" s="20" t="n">
        <x:v>3207677</x:v>
      </x:c>
      <x:c r="G35" s="20" t="n">
        <x:v>0</x:v>
      </x:c>
      <x:c r="H35" s="20" t="n">
        <x:v>0</x:v>
      </x:c>
      <x:c r="I35" s="20" t="n">
        <x:v>3207677</x:v>
      </x:c>
      <x:c r="J35" s="20" t="n">
        <x:v>1076304</x:v>
      </x:c>
      <x:c r="K35" s="20" t="n">
        <x:v>1119689</x:v>
      </x:c>
      <x:c r="L35" s="20" t="n">
        <x:v>570554</x:v>
      </x:c>
      <x:c r="M35" s="20" t="n">
        <x:v>987504</x:v>
      </x:c>
      <x:c r="N35" s="20" t="n">
        <x:v>20018</x:v>
      </x:c>
      <x:c r="O35" s="20" t="n">
        <x:v>98265</x:v>
      </x:c>
      <x:c r="P35" s="17" t="str">
        <x:v>Страница прокручена до конца</x:v>
      </x:c>
    </x:row>
    <x:row r="36" ht="55" customHeight="1">
      <x:c r="A36" s="3" t="str">
        <x:v>После</x:v>
      </x:c>
      <x:c r="B36" s="3" t="str">
        <x:v>Генеральная уборка</x:v>
      </x:c>
      <x:c r="C36" s="3" t="str">
        <x:v>Компьютер</x:v>
      </x:c>
      <x:c r="D36" s="3" t="str">
        <x:v>После открытия фото</x:v>
      </x:c>
      <x:c r="E36" s="21" t="n">
        <x:v>93</x:v>
      </x:c>
      <x:c r="F36" s="21" t="n">
        <x:v>3207677</x:v>
      </x:c>
      <x:c r="G36" s="21" t="n">
        <x:v>0</x:v>
      </x:c>
      <x:c r="H36" s="21" t="n">
        <x:v>0</x:v>
      </x:c>
      <x:c r="I36" s="21" t="n">
        <x:v>3207677</x:v>
      </x:c>
      <x:c r="J36" s="21" t="n">
        <x:v>0</x:v>
      </x:c>
      <x:c r="K36" s="21" t="n">
        <x:v>1119689</x:v>
      </x:c>
      <x:c r="L36" s="21" t="n">
        <x:v>570554</x:v>
      </x:c>
      <x:c r="M36" s="21" t="n">
        <x:v>987504</x:v>
      </x:c>
      <x:c r="N36" s="21" t="n">
        <x:v>20018</x:v>
      </x:c>
      <x:c r="O36" s="21" t="n">
        <x:v>98265</x:v>
      </x:c>
      <x:c r="P36" s="3" t="str">
        <x:v>На странице нет галереи для этого сценария</x:v>
      </x:c>
    </x:row>
    <x:row r="37" ht="55" customHeight="1">
      <x:c r="A37" s="34" t="str">
        <x:v>После</x:v>
      </x:c>
      <x:c r="B37" s="34" t="str">
        <x:v>Портфолио</x:v>
      </x:c>
      <x:c r="C37" s="34" t="str">
        <x:v>Телефон</x:v>
      </x:c>
      <x:c r="D37" s="34" t="str">
        <x:v>Начальная загрузка</x:v>
      </x:c>
      <x:c r="E37" s="35" t="n">
        <x:v>55</x:v>
      </x:c>
      <x:c r="F37" s="35" t="n">
        <x:v>640925</x:v>
      </x:c>
      <x:c r="G37" s="35" t="n">
        <x:v>0</x:v>
      </x:c>
      <x:c r="H37" s="35" t="n">
        <x:v>0</x:v>
      </x:c>
      <x:c r="I37" s="35" t="n">
        <x:v>640925</x:v>
      </x:c>
      <x:c r="J37" s="35" t="n">
        <x:v>640925</x:v>
      </x:c>
      <x:c r="K37" s="35" t="n">
        <x:v>114165</x:v>
      </x:c>
      <x:c r="L37" s="35" t="n">
        <x:v>13134</x:v>
      </x:c>
      <x:c r="M37" s="35" t="n">
        <x:v>0</x:v>
      </x:c>
      <x:c r="N37" s="35" t="n">
        <x:v>20017</x:v>
      </x:c>
      <x:c r="O37" s="35" t="n">
        <x:v>98058</x:v>
      </x:c>
      <x:c r="P37" s="34" t="str">
        <x:v>Начальная загрузка</x:v>
      </x:c>
    </x:row>
    <x:row r="38" ht="55" customHeight="1">
      <x:c r="A38" s="3" t="str">
        <x:v>После</x:v>
      </x:c>
      <x:c r="B38" s="3" t="str">
        <x:v>Портфолио</x:v>
      </x:c>
      <x:c r="C38" s="3" t="str">
        <x:v>Телефон</x:v>
      </x:c>
      <x:c r="D38" s="3" t="str">
        <x:v>После прокрутки</x:v>
      </x:c>
      <x:c r="E38" s="21" t="n">
        <x:v>81</x:v>
      </x:c>
      <x:c r="F38" s="21" t="n">
        <x:v>1649292</x:v>
      </x:c>
      <x:c r="G38" s="21" t="n">
        <x:v>0</x:v>
      </x:c>
      <x:c r="H38" s="21" t="n">
        <x:v>0</x:v>
      </x:c>
      <x:c r="I38" s="21" t="n">
        <x:v>1649292</x:v>
      </x:c>
      <x:c r="J38" s="21" t="n">
        <x:v>1008367</x:v>
      </x:c>
      <x:c r="K38" s="21" t="n">
        <x:v>157801</x:v>
      </x:c>
      <x:c r="L38" s="21" t="n">
        <x:v>94451</x:v>
      </x:c>
      <x:c r="M38" s="21" t="n">
        <x:v>883202</x:v>
      </x:c>
      <x:c r="N38" s="21" t="n">
        <x:v>20017</x:v>
      </x:c>
      <x:c r="O38" s="21" t="n">
        <x:v>98270</x:v>
      </x:c>
      <x:c r="P38" s="3" t="str">
        <x:v>Страница прокручена до конца</x:v>
      </x:c>
    </x:row>
    <x:row r="39" ht="55" customHeight="1">
      <x:c r="A39" s="17" t="str">
        <x:v>После</x:v>
      </x:c>
      <x:c r="B39" s="17" t="str">
        <x:v>Портфолио</x:v>
      </x:c>
      <x:c r="C39" s="17" t="str">
        <x:v>Телефон</x:v>
      </x:c>
      <x:c r="D39" s="17" t="str">
        <x:v>После открытия фото</x:v>
      </x:c>
      <x:c r="E39" s="20" t="n">
        <x:v>84</x:v>
      </x:c>
      <x:c r="F39" s="20" t="n">
        <x:v>2374700</x:v>
      </x:c>
      <x:c r="G39" s="20" t="n">
        <x:v>0</x:v>
      </x:c>
      <x:c r="H39" s="20" t="n">
        <x:v>0</x:v>
      </x:c>
      <x:c r="I39" s="20" t="n">
        <x:v>2374700</x:v>
      </x:c>
      <x:c r="J39" s="20" t="n">
        <x:v>725408</x:v>
      </x:c>
      <x:c r="K39" s="20" t="n">
        <x:v>882582</x:v>
      </x:c>
      <x:c r="L39" s="20" t="n">
        <x:v>94451</x:v>
      </x:c>
      <x:c r="M39" s="20" t="n">
        <x:v>883202</x:v>
      </x:c>
      <x:c r="N39" s="20" t="n">
        <x:v>20017</x:v>
      </x:c>
      <x:c r="O39" s="20" t="n">
        <x:v>98897</x:v>
      </x:c>
      <x:c r="P39" s="17" t="str">
        <x:v>Оригинал открыт</x:v>
      </x:c>
    </x:row>
    <x:row r="40" ht="55" customHeight="1">
      <x:c r="A40" s="36" t="str">
        <x:v>После</x:v>
      </x:c>
      <x:c r="B40" s="36" t="str">
        <x:v>Портфолио</x:v>
      </x:c>
      <x:c r="C40" s="36" t="str">
        <x:v>Компьютер</x:v>
      </x:c>
      <x:c r="D40" s="36" t="str">
        <x:v>Начальная загрузка</x:v>
      </x:c>
      <x:c r="E40" s="37" t="n">
        <x:v>58</x:v>
      </x:c>
      <x:c r="F40" s="37" t="n">
        <x:v>1455630</x:v>
      </x:c>
      <x:c r="G40" s="37" t="n">
        <x:v>0</x:v>
      </x:c>
      <x:c r="H40" s="37" t="n">
        <x:v>0</x:v>
      </x:c>
      <x:c r="I40" s="37" t="n">
        <x:v>1455630</x:v>
      </x:c>
      <x:c r="J40" s="37" t="n">
        <x:v>1455630</x:v>
      </x:c>
      <x:c r="K40" s="37" t="n">
        <x:v>375179</x:v>
      </x:c>
      <x:c r="L40" s="37" t="n">
        <x:v>567240</x:v>
      </x:c>
      <x:c r="M40" s="37" t="n">
        <x:v>0</x:v>
      </x:c>
      <x:c r="N40" s="37" t="n">
        <x:v>19869</x:v>
      </x:c>
      <x:c r="O40" s="37" t="n">
        <x:v>98111</x:v>
      </x:c>
      <x:c r="P40" s="36" t="str">
        <x:v>Начальная загрузка</x:v>
      </x:c>
    </x:row>
    <x:row r="41" ht="55" customHeight="1">
      <x:c r="A41" s="17" t="str">
        <x:v>После</x:v>
      </x:c>
      <x:c r="B41" s="17" t="str">
        <x:v>Портфолио</x:v>
      </x:c>
      <x:c r="C41" s="17" t="str">
        <x:v>Компьютер</x:v>
      </x:c>
      <x:c r="D41" s="17" t="str">
        <x:v>После прокрутки</x:v>
      </x:c>
      <x:c r="E41" s="20" t="n">
        <x:v>90</x:v>
      </x:c>
      <x:c r="F41" s="20" t="n">
        <x:v>2536565</x:v>
      </x:c>
      <x:c r="G41" s="20" t="n">
        <x:v>0</x:v>
      </x:c>
      <x:c r="H41" s="20" t="n">
        <x:v>0</x:v>
      </x:c>
      <x:c r="I41" s="20" t="n">
        <x:v>2536565</x:v>
      </x:c>
      <x:c r="J41" s="20" t="n">
        <x:v>1080935</x:v>
      </x:c>
      <x:c r="K41" s="20" t="n">
        <x:v>375179</x:v>
      </x:c>
      <x:c r="L41" s="20" t="n">
        <x:v>648557</x:v>
      </x:c>
      <x:c r="M41" s="20" t="n">
        <x:v>987945</x:v>
      </x:c>
      <x:c r="N41" s="20" t="n">
        <x:v>19869</x:v>
      </x:c>
      <x:c r="O41" s="20" t="n">
        <x:v>98307</x:v>
      </x:c>
      <x:c r="P41" s="17" t="str">
        <x:v>Страница прокручена до конца</x:v>
      </x:c>
    </x:row>
    <x:row r="42" ht="55" customHeight="1">
      <x:c r="A42" s="3" t="str">
        <x:v>После</x:v>
      </x:c>
      <x:c r="B42" s="3" t="str">
        <x:v>Портфолио</x:v>
      </x:c>
      <x:c r="C42" s="3" t="str">
        <x:v>Компьютер</x:v>
      </x:c>
      <x:c r="D42" s="3" t="str">
        <x:v>После открытия фото</x:v>
      </x:c>
      <x:c r="E42" s="21" t="n">
        <x:v>93</x:v>
      </x:c>
      <x:c r="F42" s="21" t="n">
        <x:v>3261753</x:v>
      </x:c>
      <x:c r="G42" s="21" t="n">
        <x:v>0</x:v>
      </x:c>
      <x:c r="H42" s="21" t="n">
        <x:v>0</x:v>
      </x:c>
      <x:c r="I42" s="21" t="n">
        <x:v>3261753</x:v>
      </x:c>
      <x:c r="J42" s="21" t="n">
        <x:v>725188</x:v>
      </x:c>
      <x:c r="K42" s="21" t="n">
        <x:v>1099960</x:v>
      </x:c>
      <x:c r="L42" s="21" t="n">
        <x:v>648557</x:v>
      </x:c>
      <x:c r="M42" s="21" t="n">
        <x:v>987945</x:v>
      </x:c>
      <x:c r="N42" s="21" t="n">
        <x:v>19869</x:v>
      </x:c>
      <x:c r="O42" s="21" t="n">
        <x:v>98714</x:v>
      </x:c>
      <x:c r="P42" s="3" t="str">
        <x:v>Оригинал открыт</x:v>
      </x:c>
    </x:row>
  </x:sheetData>
  <x:pageMargins left="0.7" right="0.7" top="0.75" bottom="0.75" header="0.3" footer="0.3"/>
</x:worksheet>
</file>